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al Tracking List" sheetId="3" state="visible" r:id="rId3"/>
    <sheet xmlns:r="http://schemas.openxmlformats.org/officeDocument/2006/relationships" name="Semrush Changes" sheetId="4" state="visible" r:id="rId4"/>
    <sheet xmlns:r="http://schemas.openxmlformats.org/officeDocument/2006/relationships" name="Skipped &amp; Removed" sheetId="5" state="visible" r:id="rId5"/>
    <sheet xmlns:r="http://schemas.openxmlformats.org/officeDocument/2006/relationships" name="Current Tracked (113)" sheetId="6" state="visible" r:id="rId6"/>
    <sheet xmlns:r="http://schemas.openxmlformats.org/officeDocument/2006/relationships" name="Competitors" sheetId="7" state="visible" r:id="rId7"/>
  </sheets>
  <definedNames>
    <definedName name="_xlnm._FilterDatabase" localSheetId="2" hidden="1">'Final Tracking List'!$A$1:$L$137</definedName>
    <definedName name="_xlnm._FilterDatabase" localSheetId="3" hidden="1">'Semrush Changes'!$A$1:$H$58</definedName>
    <definedName name="_xlnm._FilterDatabase" localSheetId="4" hidden="1">'Skipped &amp; Removed'!$A$1:$I$48</definedName>
    <definedName name="_xlnm._FilterDatabase" localSheetId="5" hidden="1">'Current Tracked (113)'!$A$1:$K$114</definedName>
    <definedName name="_xlnm._FilterDatabase" localSheetId="6" hidden="1">'Competitors'!$A$1:$E$8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sz val="10"/>
    </font>
    <font>
      <name val="Arial"/>
      <sz val="10"/>
    </font>
    <font>
      <name val="Arial"/>
      <b val="1"/>
      <color rgb="001F3A5F"/>
    </font>
    <font>
      <name val="Arial"/>
      <b val="1"/>
      <color rgb="00FFFFFF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0FB"/>
      </patternFill>
    </fill>
    <fill>
      <patternFill patternType="solid">
        <fgColor rgb="00E8F3EC"/>
      </patternFill>
    </fill>
    <fill>
      <patternFill patternType="solid">
        <fgColor rgb="00FBE9E7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John Sadler Plumbing &amp; Heating: tracked keyword list (draft)</t>
        </is>
      </c>
    </row>
    <row r="3">
      <c r="A3" s="2" t="inlineStr">
        <is>
          <t>Prepared</t>
        </is>
      </c>
      <c r="B3" s="3" t="inlineStr">
        <is>
          <t>2026-10-15 by Francis Marc Uy for Andrew Silbernagel (task from #johnsadler, 2026-09-04). Draft for review before any Semrush changes.</t>
        </is>
      </c>
    </row>
    <row r="4">
      <c r="A4" s="2" t="inlineStr">
        <is>
          <t>Purpose</t>
        </is>
      </c>
      <c r="B4" s="3" t="inlineStr">
        <is>
          <t>One keyword set mirrored across Surrey, White Rock and Langley, plus location-specific terms, with what to add to or remove from Semrush project 2824033.</t>
        </is>
      </c>
    </row>
    <row r="6">
      <c r="A6" s="4" t="inlineStr">
        <is>
          <t>TABS</t>
        </is>
      </c>
    </row>
    <row r="7">
      <c r="A7" s="2" t="inlineStr">
        <is>
          <t>Summary</t>
        </is>
      </c>
      <c r="B7" s="3" t="inlineStr">
        <is>
          <t>Counts by market and status (live formulas).</t>
        </is>
      </c>
    </row>
    <row r="8">
      <c r="A8" s="2" t="inlineStr">
        <is>
          <t>Final Tracking List</t>
        </is>
      </c>
      <c r="B8" s="3" t="inlineStr">
        <is>
          <t>Every keyword to track after the changes (Keep + Add). Filter by Market or Service.</t>
        </is>
      </c>
    </row>
    <row r="9">
      <c r="A9" s="2" t="inlineStr">
        <is>
          <t>Semrush Changes</t>
        </is>
      </c>
      <c r="B9" s="3" t="inlineStr">
        <is>
          <t>Only the Add and Remove rows, ready to action in Semrush. Mark "Done?" (yellow column) as you go.</t>
        </is>
      </c>
    </row>
    <row r="10">
      <c r="A10" s="2" t="inlineStr">
        <is>
          <t>Skipped &amp; Removed</t>
        </is>
      </c>
      <c r="B10" s="3" t="inlineStr">
        <is>
          <t>Everything dropped and why, so nothing disappears silently.</t>
        </is>
      </c>
    </row>
    <row r="11">
      <c r="A11" s="2" t="inlineStr">
        <is>
          <t>Current Tracked (113)</t>
        </is>
      </c>
      <c r="B11" s="3" t="inlineStr">
        <is>
          <t>Snapshot of the existing Semrush list with positions (2026-09-29 to 2026-10-05) and the recommended action.</t>
        </is>
      </c>
    </row>
    <row r="12">
      <c r="A12" s="2" t="inlineStr">
        <is>
          <t>Competitors</t>
        </is>
      </c>
      <c r="B12" s="3" t="inlineStr">
        <is>
          <t>Terms where hilltopplumbing.com outranks us (Semrush, 2026-10-05).</t>
        </is>
      </c>
    </row>
    <row r="14">
      <c r="A14" s="4" t="inlineStr">
        <is>
          <t>RULES APPLIED</t>
        </is>
      </c>
    </row>
    <row r="15">
      <c r="A15" s="2" t="inlineStr">
        <is>
          <t>Mirroring</t>
        </is>
      </c>
      <c r="B15" s="3" t="inlineStr">
        <is>
          <t>A service keyword is tracked in all 3 markets or none. Exceptions: location-specific terms (South Surrey, neighbourhoods) and national Navien/strata terms.</t>
        </is>
      </c>
    </row>
    <row r="16">
      <c r="A16" s="2" t="inlineStr">
        <is>
          <t>Low volume</t>
        </is>
      </c>
      <c r="B16" s="3" t="inlineStr">
        <is>
          <t>A mirrored keyword is dropped when its 3 markets combined total under 30 searches/month (higher of the Keyword Planner and Semrush figures). One exception: "tankless water heater repair" is kept as a core Navien service (ranks #5 in Surrey). Easy to change if a different cut-off is preferred.</t>
        </is>
      </c>
    </row>
    <row r="17">
      <c r="A17" s="2" t="inlineStr">
        <is>
          <t>Out of scope</t>
        </is>
      </c>
      <c r="B17" s="3" t="inlineStr">
        <is>
          <t>Abbotsford (no longer served) removed. Never-target list from keywords.md s.4 respected: no drains, faucets, toilets, propane/oil, new construction, fire installations, commercial, mobile homes, pools.</t>
        </is>
      </c>
    </row>
    <row r="18">
      <c r="A18" s="2" t="inlineStr">
        <is>
          <t>Brand</t>
        </is>
      </c>
      <c r="B18" s="3" t="inlineStr">
        <is>
          <t>"best" keywords are track-only and never used in copy. AC and heat pump repair terms are allowed since 2026-08-20, but the live AC/heat pump pages still say "installs only" and need fixing first.</t>
        </is>
      </c>
    </row>
    <row r="20">
      <c r="A20" s="4" t="inlineStr">
        <is>
          <t>SOURCES &amp; DATA NOTES</t>
        </is>
      </c>
    </row>
    <row r="21">
      <c r="A21" s="2" t="inlineStr">
        <is>
          <t>Tracking data</t>
        </is>
      </c>
      <c r="B21" s="3" t="inlineStr">
        <is>
          <t>Semrush Position Tracking project 2824033, pulled 2026-10-06 (one 113-keyword campaign; per-market campaigns not visible via API, confirm in the Semrush UI).</t>
        </is>
      </c>
    </row>
    <row r="22">
      <c r="A22" s="2" t="inlineStr">
        <is>
          <t>KP volume</t>
        </is>
      </c>
      <c r="B22" s="3" t="inlineStr">
        <is>
          <t>Google Ads Keyword Planner, Canada, average monthly searches (Oct 2025 to Sept 2026), pulled 2026-10-15. Blank = Planner grouped the term with a close variant (e.g. plumber surrey / plumbers surrey).</t>
        </is>
      </c>
    </row>
    <row r="23">
      <c r="A23" s="2" t="inlineStr">
        <is>
          <t>Semrush volume</t>
        </is>
      </c>
      <c r="B23" s="3" t="inlineStr">
        <is>
          <t>Volume recorded in the Semrush tracking campaign (existing keywords only). Fresh Semrush volumes for new keywords were not pulled: the Semrush account is out of API units.</t>
        </is>
      </c>
    </row>
    <row r="24">
      <c r="A24" s="2" t="inlineStr">
        <is>
          <t>Gap / competitor terms</t>
        </is>
      </c>
      <c r="B24" s="3" t="inlineStr">
        <is>
          <t>keywords.md s.5 (Hilltop gap, 2024 KW Research sheet, Client Overview 2026, Oct 2023 meeting notes).</t>
        </is>
      </c>
    </row>
    <row r="25">
      <c r="A25" s="2" t="inlineStr">
        <is>
          <t>Not included yet</t>
        </is>
      </c>
      <c r="B25" s="3" t="inlineStr">
        <is>
          <t>GSC tab: no agency Search Console access for johnsadler.ca found. GBP tab: GBP search-term insights not pulled. Both should be added before this is 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Summary</t>
        </is>
      </c>
    </row>
    <row r="3">
      <c r="A3" s="5" t="inlineStr">
        <is>
          <t>Market</t>
        </is>
      </c>
      <c r="B3" s="5" t="inlineStr">
        <is>
          <t>Keep</t>
        </is>
      </c>
      <c r="C3" s="5" t="inlineStr">
        <is>
          <t>Add</t>
        </is>
      </c>
      <c r="D3" s="5" t="inlineStr">
        <is>
          <t>Total to track</t>
        </is>
      </c>
      <c r="E3" s="5" t="inlineStr">
        <is>
          <t>Remove</t>
        </is>
      </c>
      <c r="F3" s="5" t="inlineStr">
        <is>
          <t>Skip</t>
        </is>
      </c>
    </row>
    <row r="4">
      <c r="A4" s="6" t="inlineStr">
        <is>
          <t>Surrey</t>
        </is>
      </c>
      <c r="B4" s="6">
        <f>COUNTIFS('Final Tracking List'!$A:$A,$A4,'Final Tracking List'!$D:$D,"Keep")</f>
        <v/>
      </c>
      <c r="C4" s="6">
        <f>COUNTIFS('Final Tracking List'!$A:$A,$A4,'Final Tracking List'!$D:$D,"Add")</f>
        <v/>
      </c>
      <c r="D4" s="6">
        <f>B4+C4</f>
        <v/>
      </c>
      <c r="E4" s="6">
        <f>COUNTIFS('Skipped &amp; Removed'!$B:$B,$A4,'Skipped &amp; Removed'!$A:$A,"Remove")</f>
        <v/>
      </c>
      <c r="F4" s="6">
        <f>COUNTIFS('Skipped &amp; Removed'!$B:$B,$A4,'Skipped &amp; Removed'!$A:$A,"Skip")</f>
        <v/>
      </c>
    </row>
    <row r="5">
      <c r="A5" s="6" t="inlineStr">
        <is>
          <t>White Rock</t>
        </is>
      </c>
      <c r="B5" s="6">
        <f>COUNTIFS('Final Tracking List'!$A:$A,$A5,'Final Tracking List'!$D:$D,"Keep")</f>
        <v/>
      </c>
      <c r="C5" s="6">
        <f>COUNTIFS('Final Tracking List'!$A:$A,$A5,'Final Tracking List'!$D:$D,"Add")</f>
        <v/>
      </c>
      <c r="D5" s="6">
        <f>B5+C5</f>
        <v/>
      </c>
      <c r="E5" s="6">
        <f>COUNTIFS('Skipped &amp; Removed'!$B:$B,$A5,'Skipped &amp; Removed'!$A:$A,"Remove")</f>
        <v/>
      </c>
      <c r="F5" s="6">
        <f>COUNTIFS('Skipped &amp; Removed'!$B:$B,$A5,'Skipped &amp; Removed'!$A:$A,"Skip")</f>
        <v/>
      </c>
    </row>
    <row r="6">
      <c r="A6" s="6" t="inlineStr">
        <is>
          <t>Langley</t>
        </is>
      </c>
      <c r="B6" s="6">
        <f>COUNTIFS('Final Tracking List'!$A:$A,$A6,'Final Tracking List'!$D:$D,"Keep")</f>
        <v/>
      </c>
      <c r="C6" s="6">
        <f>COUNTIFS('Final Tracking List'!$A:$A,$A6,'Final Tracking List'!$D:$D,"Add")</f>
        <v/>
      </c>
      <c r="D6" s="6">
        <f>B6+C6</f>
        <v/>
      </c>
      <c r="E6" s="6">
        <f>COUNTIFS('Skipped &amp; Removed'!$B:$B,$A6,'Skipped &amp; Removed'!$A:$A,"Remove")</f>
        <v/>
      </c>
      <c r="F6" s="6">
        <f>COUNTIFS('Skipped &amp; Removed'!$B:$B,$A6,'Skipped &amp; Removed'!$A:$A,"Skip")</f>
        <v/>
      </c>
    </row>
    <row r="7">
      <c r="A7" s="6" t="inlineStr">
        <is>
          <t>All (no location)</t>
        </is>
      </c>
      <c r="B7" s="6">
        <f>COUNTIFS('Final Tracking List'!$A:$A,$A7,'Final Tracking List'!$D:$D,"Keep")</f>
        <v/>
      </c>
      <c r="C7" s="6">
        <f>COUNTIFS('Final Tracking List'!$A:$A,$A7,'Final Tracking List'!$D:$D,"Add")</f>
        <v/>
      </c>
      <c r="D7" s="6">
        <f>B7+C7</f>
        <v/>
      </c>
      <c r="E7" s="6">
        <f>COUNTIFS('Skipped &amp; Removed'!$B:$B,$A7,'Skipped &amp; Removed'!$A:$A,"Remove")</f>
        <v/>
      </c>
      <c r="F7" s="6">
        <f>COUNTIFS('Skipped &amp; Removed'!$B:$B,$A7,'Skipped &amp; Removed'!$A:$A,"Skip")</f>
        <v/>
      </c>
    </row>
    <row r="8">
      <c r="A8" s="6" t="inlineStr">
        <is>
          <t>Abbotsford</t>
        </is>
      </c>
      <c r="B8" s="6">
        <f>COUNTIFS('Final Tracking List'!$A:$A,$A8,'Final Tracking List'!$D:$D,"Keep")</f>
        <v/>
      </c>
      <c r="C8" s="6">
        <f>COUNTIFS('Final Tracking List'!$A:$A,$A8,'Final Tracking List'!$D:$D,"Add")</f>
        <v/>
      </c>
      <c r="D8" s="6">
        <f>B8+C8</f>
        <v/>
      </c>
      <c r="E8" s="6">
        <f>COUNTIFS('Skipped &amp; Removed'!$B:$B,$A8,'Skipped &amp; Removed'!$A:$A,"Remove")</f>
        <v/>
      </c>
      <c r="F8" s="6">
        <f>COUNTIFS('Skipped &amp; Removed'!$B:$B,$A8,'Skipped &amp; Removed'!$A:$A,"Skip")</f>
        <v/>
      </c>
    </row>
    <row r="9">
      <c r="A9" s="2" t="inlineStr">
        <is>
          <t>Total</t>
        </is>
      </c>
      <c r="B9" s="2">
        <f>SUM(B4:B8)</f>
        <v/>
      </c>
      <c r="C9" s="2">
        <f>SUM(C4:C8)</f>
        <v/>
      </c>
      <c r="D9" s="2">
        <f>SUM(D4:D8)</f>
        <v/>
      </c>
      <c r="E9" s="2">
        <f>SUM(E4:E8)</f>
        <v/>
      </c>
      <c r="F9" s="2">
        <f>SUM(F4:F8)</f>
        <v/>
      </c>
    </row>
    <row r="11">
      <c r="A11" s="6" t="inlineStr">
        <is>
          <t>Currently tracked in Semrush</t>
        </is>
      </c>
      <c r="D11" s="6">
        <f>COUNTA('Current Tracked (113)'!B:B)-1</f>
        <v/>
      </c>
    </row>
    <row r="12">
      <c r="A12" s="2" t="inlineStr">
        <is>
          <t>Tracked after changes</t>
        </is>
      </c>
      <c r="D12" s="2">
        <f>D9</f>
        <v/>
      </c>
    </row>
    <row r="14">
      <c r="A14" s="7" t="inlineStr">
        <is>
          <t>Low-volume threshold (3 markets combined, searches/mo): 30. See Read 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9" customWidth="1" min="4" max="4"/>
    <col width="38" customWidth="1" min="5" max="5"/>
    <col width="40" customWidth="1" min="6" max="6"/>
    <col width="11" customWidth="1" min="7" max="7"/>
    <col width="11" customWidth="1" min="8" max="8"/>
    <col width="9" customWidth="1" min="9" max="9"/>
    <col width="40" customWidth="1" min="10" max="10"/>
    <col width="40" customWidth="1" min="11" max="11"/>
    <col width="45" customWidth="1" min="12" max="12"/>
  </cols>
  <sheetData>
    <row r="1" ht="30" customHeight="1">
      <c r="A1" s="8" t="inlineStr">
        <is>
          <t>Market</t>
        </is>
      </c>
      <c r="B1" s="8" t="inlineStr">
        <is>
          <t>Service</t>
        </is>
      </c>
      <c r="C1" s="8" t="inlineStr">
        <is>
          <t>Keyword</t>
        </is>
      </c>
      <c r="D1" s="8" t="inlineStr">
        <is>
          <t>Status</t>
        </is>
      </c>
      <c r="E1" s="8" t="inlineStr">
        <is>
          <t>Reason</t>
        </is>
      </c>
      <c r="F1" s="8" t="inlineStr">
        <is>
          <t>Source</t>
        </is>
      </c>
      <c r="G1" s="8" t="inlineStr">
        <is>
          <t>KP volume</t>
        </is>
      </c>
      <c r="H1" s="8" t="inlineStr">
        <is>
          <t>Semrush volume</t>
        </is>
      </c>
      <c r="I1" s="8" t="inlineStr">
        <is>
          <t>Pos. 10-05</t>
        </is>
      </c>
      <c r="J1" s="8" t="inlineStr">
        <is>
          <t>Current ranking URL</t>
        </is>
      </c>
      <c r="K1" s="8" t="inlineStr">
        <is>
          <t>Target page</t>
        </is>
      </c>
      <c r="L1" s="8" t="inlineStr">
        <is>
          <t>Notes</t>
        </is>
      </c>
    </row>
    <row r="2">
      <c r="A2" s="9" t="inlineStr">
        <is>
          <t>Surrey</t>
        </is>
      </c>
      <c r="B2" s="9" t="inlineStr">
        <is>
          <t>Air conditioning</t>
        </is>
      </c>
      <c r="C2" s="9" t="inlineStr">
        <is>
          <t>ac repair surrey</t>
        </is>
      </c>
      <c r="D2" s="10" t="inlineStr">
        <is>
          <t>Add</t>
        </is>
      </c>
      <c r="E2" s="11" t="inlineStr">
        <is>
          <t>New service / gap term</t>
        </is>
      </c>
      <c r="F2" s="11" t="inlineStr">
        <is>
          <t>Gap list (keywords.md s.5): client service change 2026-08-20</t>
        </is>
      </c>
      <c r="G2" s="9" t="n">
        <v>110</v>
      </c>
      <c r="H2" s="9" t="n"/>
      <c r="I2" s="9" t="n"/>
      <c r="J2" s="9" t="n"/>
      <c r="K2" s="9" t="inlineStr">
        <is>
          <t>/services/heating-cooling/air-conditioning/</t>
        </is>
      </c>
      <c r="L2" s="11" t="inlineStr">
        <is>
          <t>AC / heat pump repair offered since 2026-08-20; live AC and heat pump pages still say "installs only" (fix before pushing these).</t>
        </is>
      </c>
    </row>
    <row r="3">
      <c r="A3" s="9" t="inlineStr">
        <is>
          <t>Surrey</t>
        </is>
      </c>
      <c r="B3" s="9" t="inlineStr">
        <is>
          <t>Air conditioning</t>
        </is>
      </c>
      <c r="C3" s="9" t="inlineStr">
        <is>
          <t>air conditioning repair surrey</t>
        </is>
      </c>
      <c r="D3" s="12" t="inlineStr">
        <is>
          <t>Keep</t>
        </is>
      </c>
      <c r="E3" s="11" t="inlineStr"/>
      <c r="F3" s="11" t="inlineStr">
        <is>
          <t>Semrush tracking (project 2824033)</t>
        </is>
      </c>
      <c r="G3" s="9" t="n">
        <v>110</v>
      </c>
      <c r="H3" s="9" t="n">
        <v>20</v>
      </c>
      <c r="I3" s="9" t="n"/>
      <c r="J3" s="9" t="n"/>
      <c r="K3" s="9" t="inlineStr">
        <is>
          <t>/services/heating-cooling/air-conditioning/</t>
        </is>
      </c>
      <c r="L3" s="11" t="inlineStr">
        <is>
          <t>AC / heat pump repair offered since 2026-08-20; live AC and heat pump pages still say "installs only" (fix before pushing these).</t>
        </is>
      </c>
    </row>
    <row r="4">
      <c r="A4" s="9" t="inlineStr">
        <is>
          <t>Surrey</t>
        </is>
      </c>
      <c r="B4" s="9" t="inlineStr">
        <is>
          <t>Air conditioning</t>
        </is>
      </c>
      <c r="C4" s="9" t="inlineStr">
        <is>
          <t>surrey air conditioning</t>
        </is>
      </c>
      <c r="D4" s="12" t="inlineStr">
        <is>
          <t>Keep</t>
        </is>
      </c>
      <c r="E4" s="11" t="inlineStr"/>
      <c r="F4" s="11" t="inlineStr">
        <is>
          <t>Semrush tracking (project 2824033)</t>
        </is>
      </c>
      <c r="G4" s="9" t="n"/>
      <c r="H4" s="9" t="n">
        <v>110</v>
      </c>
      <c r="I4" s="9" t="n">
        <v>41</v>
      </c>
      <c r="J4" s="9" t="inlineStr">
        <is>
          <t>/services/heating-cooling/air-conditioning/</t>
        </is>
      </c>
      <c r="K4" s="9" t="inlineStr">
        <is>
          <t>/services/heating-cooling/air-conditioning/</t>
        </is>
      </c>
      <c r="L4" s="11" t="inlineStr"/>
    </row>
    <row r="5">
      <c r="A5" s="9" t="inlineStr">
        <is>
          <t>Surrey</t>
        </is>
      </c>
      <c r="B5" s="9" t="inlineStr">
        <is>
          <t>Air conditioning</t>
        </is>
      </c>
      <c r="C5" s="9" t="inlineStr">
        <is>
          <t>air conditioner surrey</t>
        </is>
      </c>
      <c r="D5" s="12" t="inlineStr">
        <is>
          <t>Keep</t>
        </is>
      </c>
      <c r="E5" s="11" t="inlineStr"/>
      <c r="F5" s="11" t="inlineStr">
        <is>
          <t>Semrush tracking (project 2824033)</t>
        </is>
      </c>
      <c r="G5" s="9" t="n">
        <v>20</v>
      </c>
      <c r="H5" s="9" t="n">
        <v>110</v>
      </c>
      <c r="I5" s="9" t="n">
        <v>22</v>
      </c>
      <c r="J5" s="9" t="inlineStr">
        <is>
          <t>/services/heating-cooling/air-conditioning/</t>
        </is>
      </c>
      <c r="K5" s="9" t="inlineStr">
        <is>
          <t>/services/heating-cooling/air-conditioning/</t>
        </is>
      </c>
      <c r="L5" s="11" t="inlineStr"/>
    </row>
    <row r="6">
      <c r="A6" s="9" t="inlineStr">
        <is>
          <t>Surrey</t>
        </is>
      </c>
      <c r="B6" s="9" t="inlineStr">
        <is>
          <t>Air conditioning</t>
        </is>
      </c>
      <c r="C6" s="9" t="inlineStr">
        <is>
          <t>hvac repair surrey</t>
        </is>
      </c>
      <c r="D6" s="10" t="inlineStr">
        <is>
          <t>Add</t>
        </is>
      </c>
      <c r="E6" s="11" t="inlineStr">
        <is>
          <t>New service / gap term</t>
        </is>
      </c>
      <c r="F6" s="11" t="inlineStr">
        <is>
          <t>Gap list (keywords.md s.5): client service change 2026-08-20</t>
        </is>
      </c>
      <c r="G6" s="9" t="n">
        <v>20</v>
      </c>
      <c r="H6" s="9" t="n"/>
      <c r="I6" s="9" t="n"/>
      <c r="J6" s="9" t="n"/>
      <c r="K6" s="9" t="inlineStr">
        <is>
          <t>/services/heating-cooling/air-conditioning/</t>
        </is>
      </c>
      <c r="L6" s="11" t="inlineStr">
        <is>
          <t>AC / heat pump repair offered since 2026-08-20; live AC and heat pump pages still say "installs only" (fix before pushing these). Residential only; no commercial HVAC.</t>
        </is>
      </c>
    </row>
    <row r="7">
      <c r="A7" s="9" t="inlineStr">
        <is>
          <t>Surrey</t>
        </is>
      </c>
      <c r="B7" s="9" t="inlineStr">
        <is>
          <t>Boilers</t>
        </is>
      </c>
      <c r="C7" s="9" t="inlineStr">
        <is>
          <t>boiler repair surrey</t>
        </is>
      </c>
      <c r="D7" s="12" t="inlineStr">
        <is>
          <t>Keep</t>
        </is>
      </c>
      <c r="E7" s="11" t="inlineStr"/>
      <c r="F7" s="11" t="inlineStr">
        <is>
          <t>Semrush tracking (project 2824033)</t>
        </is>
      </c>
      <c r="G7" s="9" t="n">
        <v>40</v>
      </c>
      <c r="H7" s="9" t="n">
        <v>30</v>
      </c>
      <c r="I7" s="9" t="n">
        <v>14</v>
      </c>
      <c r="J7" s="9" t="inlineStr">
        <is>
          <t>/surrey-boiler-services/</t>
        </is>
      </c>
      <c r="K7" s="9" t="inlineStr">
        <is>
          <t>/services/heating-cooling/boiler-repair/</t>
        </is>
      </c>
      <c r="L7" s="11" t="inlineStr"/>
    </row>
    <row r="8">
      <c r="A8" s="9" t="inlineStr">
        <is>
          <t>Surrey</t>
        </is>
      </c>
      <c r="B8" s="9" t="inlineStr">
        <is>
          <t>Boilers</t>
        </is>
      </c>
      <c r="C8" s="9" t="inlineStr">
        <is>
          <t>boiler installation surrey</t>
        </is>
      </c>
      <c r="D8" s="12" t="inlineStr">
        <is>
          <t>Keep</t>
        </is>
      </c>
      <c r="E8" s="11" t="inlineStr"/>
      <c r="F8" s="11" t="inlineStr">
        <is>
          <t>Semrush tracking (project 2824033)</t>
        </is>
      </c>
      <c r="G8" s="9" t="n">
        <v>20</v>
      </c>
      <c r="H8" s="9" t="n">
        <v>10</v>
      </c>
      <c r="I8" s="9" t="n">
        <v>2</v>
      </c>
      <c r="J8" s="9" t="inlineStr">
        <is>
          <t>/</t>
        </is>
      </c>
      <c r="K8" s="9" t="inlineStr">
        <is>
          <t>/boiler-replacement/</t>
        </is>
      </c>
      <c r="L8" s="11" t="inlineStr"/>
    </row>
    <row r="9">
      <c r="A9" s="9" t="inlineStr">
        <is>
          <t>Surrey</t>
        </is>
      </c>
      <c r="B9" s="9" t="inlineStr">
        <is>
          <t>Boilers</t>
        </is>
      </c>
      <c r="C9" s="9" t="inlineStr">
        <is>
          <t>boiler services surrey</t>
        </is>
      </c>
      <c r="D9" s="12" t="inlineStr">
        <is>
          <t>Keep</t>
        </is>
      </c>
      <c r="E9" s="11" t="inlineStr"/>
      <c r="F9" s="11" t="inlineStr">
        <is>
          <t>Semrush tracking (project 2824033)</t>
        </is>
      </c>
      <c r="G9" s="9" t="n">
        <v>10</v>
      </c>
      <c r="H9" s="9" t="n">
        <v>20</v>
      </c>
      <c r="I9" s="9" t="n">
        <v>1</v>
      </c>
      <c r="J9" s="9" t="inlineStr">
        <is>
          <t>/surrey-boiler-services/</t>
        </is>
      </c>
      <c r="K9" s="9" t="inlineStr">
        <is>
          <t>/surrey-boiler-services/</t>
        </is>
      </c>
      <c r="L9" s="11" t="inlineStr"/>
    </row>
    <row r="10">
      <c r="A10" s="9" t="inlineStr">
        <is>
          <t>Surrey</t>
        </is>
      </c>
      <c r="B10" s="9" t="inlineStr">
        <is>
          <t>Furnaces</t>
        </is>
      </c>
      <c r="C10" s="9" t="inlineStr">
        <is>
          <t>furnace repair surrey</t>
        </is>
      </c>
      <c r="D10" s="12" t="inlineStr">
        <is>
          <t>Keep</t>
        </is>
      </c>
      <c r="E10" s="11" t="inlineStr"/>
      <c r="F10" s="11" t="inlineStr">
        <is>
          <t>Semrush tracking (project 2824033)</t>
        </is>
      </c>
      <c r="G10" s="9" t="n">
        <v>390</v>
      </c>
      <c r="H10" s="9" t="n">
        <v>590</v>
      </c>
      <c r="I10" s="9" t="n">
        <v>31</v>
      </c>
      <c r="J10" s="9" t="inlineStr">
        <is>
          <t>/services/heating-cooling/furnace-repair/</t>
        </is>
      </c>
      <c r="K10" s="9" t="inlineStr">
        <is>
          <t>/services/heating-cooling/furnace-repair/</t>
        </is>
      </c>
      <c r="L10" s="11" t="inlineStr"/>
    </row>
    <row r="11">
      <c r="A11" s="9" t="inlineStr">
        <is>
          <t>Surrey</t>
        </is>
      </c>
      <c r="B11" s="9" t="inlineStr">
        <is>
          <t>Furnaces</t>
        </is>
      </c>
      <c r="C11" s="9" t="inlineStr">
        <is>
          <t>furnace services surrey</t>
        </is>
      </c>
      <c r="D11" s="12" t="inlineStr">
        <is>
          <t>Keep</t>
        </is>
      </c>
      <c r="E11" s="11" t="inlineStr"/>
      <c r="F11" s="11" t="inlineStr">
        <is>
          <t>Semrush tracking (project 2824033)</t>
        </is>
      </c>
      <c r="G11" s="9" t="n"/>
      <c r="H11" s="9" t="n">
        <v>110</v>
      </c>
      <c r="I11" s="9" t="n">
        <v>19</v>
      </c>
      <c r="J11" s="9" t="inlineStr">
        <is>
          <t>/services/heating-cooling/furnace-repair/</t>
        </is>
      </c>
      <c r="K11" s="9" t="inlineStr">
        <is>
          <t>/services/heating-cooling/furnace-repair/</t>
        </is>
      </c>
      <c r="L11" s="11" t="inlineStr"/>
    </row>
    <row r="12">
      <c r="A12" s="9" t="inlineStr">
        <is>
          <t>Surrey</t>
        </is>
      </c>
      <c r="B12" s="9" t="inlineStr">
        <is>
          <t>Furnaces</t>
        </is>
      </c>
      <c r="C12" s="9" t="inlineStr">
        <is>
          <t>furnace installation surrey</t>
        </is>
      </c>
      <c r="D12" s="12" t="inlineStr">
        <is>
          <t>Keep</t>
        </is>
      </c>
      <c r="E12" s="11" t="inlineStr"/>
      <c r="F12" s="11" t="inlineStr">
        <is>
          <t>Semrush tracking (project 2824033)</t>
        </is>
      </c>
      <c r="G12" s="9" t="n">
        <v>70</v>
      </c>
      <c r="H12" s="9" t="n">
        <v>20</v>
      </c>
      <c r="I12" s="9" t="n">
        <v>13</v>
      </c>
      <c r="J12" s="9" t="inlineStr">
        <is>
          <t>/services/heating-cooling/furnace-installation/</t>
        </is>
      </c>
      <c r="K12" s="9" t="inlineStr">
        <is>
          <t>/services/heating-cooling/furnace-installation/</t>
        </is>
      </c>
      <c r="L12" s="11" t="inlineStr"/>
    </row>
    <row r="13">
      <c r="A13" s="9" t="inlineStr">
        <is>
          <t>Surrey</t>
        </is>
      </c>
      <c r="B13" s="9" t="inlineStr">
        <is>
          <t>Furnaces</t>
        </is>
      </c>
      <c r="C13" s="9" t="inlineStr">
        <is>
          <t>furnace service surrey</t>
        </is>
      </c>
      <c r="D13" s="12" t="inlineStr">
        <is>
          <t>Keep</t>
        </is>
      </c>
      <c r="E13" s="11" t="inlineStr"/>
      <c r="F13" s="11" t="inlineStr">
        <is>
          <t>Semrush tracking (project 2824033)</t>
        </is>
      </c>
      <c r="G13" s="9" t="n">
        <v>50</v>
      </c>
      <c r="H13" s="9" t="n">
        <v>110</v>
      </c>
      <c r="I13" s="9" t="n">
        <v>8</v>
      </c>
      <c r="J13" s="9" t="inlineStr">
        <is>
          <t>/services/heating-cooling/furnace-repair/</t>
        </is>
      </c>
      <c r="K13" s="9" t="inlineStr">
        <is>
          <t>/services/heating-cooling/furnace-repair/</t>
        </is>
      </c>
      <c r="L13" s="11" t="inlineStr"/>
    </row>
    <row r="14">
      <c r="A14" s="9" t="inlineStr">
        <is>
          <t>Surrey</t>
        </is>
      </c>
      <c r="B14" s="9" t="inlineStr">
        <is>
          <t>Furnaces</t>
        </is>
      </c>
      <c r="C14" s="9" t="inlineStr">
        <is>
          <t>furnace replacement surrey</t>
        </is>
      </c>
      <c r="D14" s="10" t="inlineStr">
        <is>
          <t>Add</t>
        </is>
      </c>
      <c r="E14" s="11" t="inlineStr">
        <is>
          <t>New service / gap term</t>
        </is>
      </c>
      <c r="F14" s="11" t="inlineStr">
        <is>
          <t>Gap list (keywords.md s.5): KW Research sheet 2024 / Client Overview 2026</t>
        </is>
      </c>
      <c r="G14" s="9" t="n">
        <v>20</v>
      </c>
      <c r="H14" s="9" t="n"/>
      <c r="I14" s="9" t="n"/>
      <c r="J14" s="9" t="n"/>
      <c r="K14" s="9" t="inlineStr">
        <is>
          <t>/services/heating-cooling/furnace-installation/</t>
        </is>
      </c>
      <c r="L14" s="11" t="inlineStr"/>
    </row>
    <row r="15">
      <c r="A15" s="9" t="inlineStr">
        <is>
          <t>Surrey</t>
        </is>
      </c>
      <c r="B15" s="9" t="inlineStr">
        <is>
          <t>Furnaces</t>
        </is>
      </c>
      <c r="C15" s="9" t="inlineStr">
        <is>
          <t>furnace maintenance surrey</t>
        </is>
      </c>
      <c r="D15" s="10" t="inlineStr">
        <is>
          <t>Add</t>
        </is>
      </c>
      <c r="E15" s="11" t="inlineStr">
        <is>
          <t>New service / gap term</t>
        </is>
      </c>
      <c r="F15" s="11" t="inlineStr">
        <is>
          <t>Gap list (keywords.md s.5): KW Research sheet 2024 / Client Overview 2026</t>
        </is>
      </c>
      <c r="G15" s="9" t="n">
        <v>10</v>
      </c>
      <c r="H15" s="9" t="n"/>
      <c r="I15" s="9" t="n"/>
      <c r="J15" s="9" t="n"/>
      <c r="K15" s="9" t="inlineStr">
        <is>
          <t>/services/heating-cooling/furnace-repair/</t>
        </is>
      </c>
      <c r="L15" s="11" t="inlineStr"/>
    </row>
    <row r="16">
      <c r="A16" s="9" t="inlineStr">
        <is>
          <t>Surrey</t>
        </is>
      </c>
      <c r="B16" s="9" t="inlineStr">
        <is>
          <t>Furnaces</t>
        </is>
      </c>
      <c r="C16" s="9" t="inlineStr">
        <is>
          <t>furnace repair south surrey</t>
        </is>
      </c>
      <c r="D16" s="12" t="inlineStr">
        <is>
          <t>Keep</t>
        </is>
      </c>
      <c r="E16" s="11" t="inlineStr">
        <is>
          <t>Location-specific (South Surrey, where the business is based)</t>
        </is>
      </c>
      <c r="F16" s="11" t="inlineStr">
        <is>
          <t>Semrush tracking (project 2824033)</t>
        </is>
      </c>
      <c r="G16" s="9" t="n">
        <v>10</v>
      </c>
      <c r="H16" s="9" t="n">
        <v>20</v>
      </c>
      <c r="I16" s="9" t="n">
        <v>4</v>
      </c>
      <c r="J16" s="9" t="inlineStr">
        <is>
          <t>/services/heating-cooling/furnace-repair/</t>
        </is>
      </c>
      <c r="K16" s="9" t="inlineStr">
        <is>
          <t>/services/heating-cooling/furnace-repair/</t>
        </is>
      </c>
      <c r="L16" s="11" t="inlineStr"/>
    </row>
    <row r="17">
      <c r="A17" s="9" t="inlineStr">
        <is>
          <t>Surrey</t>
        </is>
      </c>
      <c r="B17" s="9" t="inlineStr">
        <is>
          <t>Gas fitting</t>
        </is>
      </c>
      <c r="C17" s="9" t="inlineStr">
        <is>
          <t>gas fitter surrey</t>
        </is>
      </c>
      <c r="D17" s="12" t="inlineStr">
        <is>
          <t>Keep</t>
        </is>
      </c>
      <c r="E17" s="11" t="inlineStr"/>
      <c r="F17" s="11" t="inlineStr">
        <is>
          <t>Semrush tracking (project 2824033)</t>
        </is>
      </c>
      <c r="G17" s="9" t="n">
        <v>70</v>
      </c>
      <c r="H17" s="9" t="n">
        <v>70</v>
      </c>
      <c r="I17" s="9" t="n">
        <v>1</v>
      </c>
      <c r="J17" s="9" t="inlineStr">
        <is>
          <t>/</t>
        </is>
      </c>
      <c r="K17" s="9" t="inlineStr">
        <is>
          <t>/services/gas-fitting/</t>
        </is>
      </c>
      <c r="L17" s="11" t="inlineStr"/>
    </row>
    <row r="18">
      <c r="A18" s="9" t="inlineStr">
        <is>
          <t>Surrey</t>
        </is>
      </c>
      <c r="B18" s="9" t="inlineStr">
        <is>
          <t>Gas fitting</t>
        </is>
      </c>
      <c r="C18" s="9" t="inlineStr">
        <is>
          <t>gas line installation surrey</t>
        </is>
      </c>
      <c r="D18" s="12" t="inlineStr">
        <is>
          <t>Keep</t>
        </is>
      </c>
      <c r="E18" s="11" t="inlineStr"/>
      <c r="F18" s="11" t="inlineStr">
        <is>
          <t>Semrush tracking (project 2824033)</t>
        </is>
      </c>
      <c r="G18" s="9" t="n">
        <v>10</v>
      </c>
      <c r="H18" s="9" t="n">
        <v>10</v>
      </c>
      <c r="I18" s="9" t="n">
        <v>1</v>
      </c>
      <c r="J18" s="9" t="inlineStr">
        <is>
          <t>/</t>
        </is>
      </c>
      <c r="K18" s="9" t="inlineStr">
        <is>
          <t>/services/gas-fitting/</t>
        </is>
      </c>
      <c r="L18" s="11" t="inlineStr"/>
    </row>
    <row r="19">
      <c r="A19" s="9" t="inlineStr">
        <is>
          <t>Surrey</t>
        </is>
      </c>
      <c r="B19" s="9" t="inlineStr">
        <is>
          <t>Heat pumps</t>
        </is>
      </c>
      <c r="C19" s="9" t="inlineStr">
        <is>
          <t>heat pump installation surrey</t>
        </is>
      </c>
      <c r="D19" s="12" t="inlineStr">
        <is>
          <t>Keep</t>
        </is>
      </c>
      <c r="E19" s="11" t="inlineStr"/>
      <c r="F19" s="11" t="inlineStr">
        <is>
          <t>Semrush tracking (project 2824033)</t>
        </is>
      </c>
      <c r="G19" s="9" t="n">
        <v>70</v>
      </c>
      <c r="H19" s="9" t="n">
        <v>30</v>
      </c>
      <c r="I19" s="9" t="n">
        <v>11</v>
      </c>
      <c r="J19" s="9" t="inlineStr">
        <is>
          <t>/services/heating-cooling/heat-pumps/</t>
        </is>
      </c>
      <c r="K19" s="9" t="inlineStr">
        <is>
          <t>/services/heating-cooling/heat-pumps/</t>
        </is>
      </c>
      <c r="L19" s="11" t="inlineStr"/>
    </row>
    <row r="20">
      <c r="A20" s="9" t="inlineStr">
        <is>
          <t>Surrey</t>
        </is>
      </c>
      <c r="B20" s="9" t="inlineStr">
        <is>
          <t>Heat pumps</t>
        </is>
      </c>
      <c r="C20" s="9" t="inlineStr">
        <is>
          <t>heat pump repair surrey</t>
        </is>
      </c>
      <c r="D20" s="10" t="inlineStr">
        <is>
          <t>Add</t>
        </is>
      </c>
      <c r="E20" s="11" t="inlineStr">
        <is>
          <t>New service / gap term</t>
        </is>
      </c>
      <c r="F20" s="11" t="inlineStr">
        <is>
          <t>Gap list (keywords.md s.5): client service change 2026-08-20</t>
        </is>
      </c>
      <c r="G20" s="9" t="n">
        <v>30</v>
      </c>
      <c r="H20" s="9" t="n"/>
      <c r="I20" s="9" t="n"/>
      <c r="J20" s="9" t="n"/>
      <c r="K20" s="9" t="inlineStr">
        <is>
          <t>/services/heating-cooling/heat-pumps/</t>
        </is>
      </c>
      <c r="L20" s="11" t="inlineStr">
        <is>
          <t>AC / heat pump repair offered since 2026-08-20; live AC and heat pump pages still say "installs only" (fix before pushing these).</t>
        </is>
      </c>
    </row>
    <row r="21">
      <c r="A21" s="9" t="inlineStr">
        <is>
          <t>Surrey</t>
        </is>
      </c>
      <c r="B21" s="9" t="inlineStr">
        <is>
          <t>Heating &amp; cooling (general)</t>
        </is>
      </c>
      <c r="C21" s="9" t="inlineStr">
        <is>
          <t>hvac surrey</t>
        </is>
      </c>
      <c r="D21" s="10" t="inlineStr">
        <is>
          <t>Add</t>
        </is>
      </c>
      <c r="E21" s="11" t="inlineStr">
        <is>
          <t>New service / gap term</t>
        </is>
      </c>
      <c r="F21" s="11" t="inlineStr">
        <is>
          <t>Gap list (keywords.md s.5): KW Research sheet 2024 / Client Overview 2026</t>
        </is>
      </c>
      <c r="G21" s="9" t="n">
        <v>480</v>
      </c>
      <c r="H21" s="9" t="n"/>
      <c r="I21" s="9" t="n"/>
      <c r="J21" s="9" t="n"/>
      <c r="K21" s="9" t="inlineStr">
        <is>
          <t>/</t>
        </is>
      </c>
      <c r="L21" s="11" t="inlineStr">
        <is>
          <t>Residential only; no commercial HVAC.</t>
        </is>
      </c>
    </row>
    <row r="22">
      <c r="A22" s="9" t="inlineStr">
        <is>
          <t>Surrey</t>
        </is>
      </c>
      <c r="B22" s="9" t="inlineStr">
        <is>
          <t>Heating &amp; cooling (general)</t>
        </is>
      </c>
      <c r="C22" s="9" t="inlineStr">
        <is>
          <t>plumbing and heating surrey</t>
        </is>
      </c>
      <c r="D22" s="12" t="inlineStr">
        <is>
          <t>Keep</t>
        </is>
      </c>
      <c r="E22" s="11" t="inlineStr"/>
      <c r="F22" s="11" t="inlineStr">
        <is>
          <t>Semrush tracking (project 2824033)</t>
        </is>
      </c>
      <c r="G22" s="9" t="n">
        <v>90</v>
      </c>
      <c r="H22" s="9" t="n">
        <v>90</v>
      </c>
      <c r="I22" s="9" t="n">
        <v>26</v>
      </c>
      <c r="J22" s="9" t="inlineStr">
        <is>
          <t>/</t>
        </is>
      </c>
      <c r="K22" s="9" t="inlineStr">
        <is>
          <t>/</t>
        </is>
      </c>
      <c r="L22" s="11" t="inlineStr"/>
    </row>
    <row r="23">
      <c r="A23" s="9" t="inlineStr">
        <is>
          <t>Surrey</t>
        </is>
      </c>
      <c r="B23" s="9" t="inlineStr">
        <is>
          <t>Heating &amp; cooling (general)</t>
        </is>
      </c>
      <c r="C23" s="9" t="inlineStr">
        <is>
          <t>heating installation surrey</t>
        </is>
      </c>
      <c r="D23" s="12" t="inlineStr">
        <is>
          <t>Keep</t>
        </is>
      </c>
      <c r="E23" s="11" t="inlineStr"/>
      <c r="F23" s="11" t="inlineStr">
        <is>
          <t>Semrush tracking (project 2824033)</t>
        </is>
      </c>
      <c r="G23" s="9" t="n">
        <v>10</v>
      </c>
      <c r="H23" s="9" t="n">
        <v>10</v>
      </c>
      <c r="I23" s="9" t="n">
        <v>26</v>
      </c>
      <c r="J23" s="9" t="inlineStr">
        <is>
          <t>/</t>
        </is>
      </c>
      <c r="K23" s="9" t="inlineStr">
        <is>
          <t>/</t>
        </is>
      </c>
      <c r="L23" s="11" t="inlineStr"/>
    </row>
    <row r="24">
      <c r="A24" s="9" t="inlineStr">
        <is>
          <t>Surrey</t>
        </is>
      </c>
      <c r="B24" s="9" t="inlineStr">
        <is>
          <t>Heating &amp; cooling (general)</t>
        </is>
      </c>
      <c r="C24" s="9" t="inlineStr">
        <is>
          <t>heating service surrey</t>
        </is>
      </c>
      <c r="D24" s="12" t="inlineStr">
        <is>
          <t>Keep</t>
        </is>
      </c>
      <c r="E24" s="11" t="inlineStr"/>
      <c r="F24" s="11" t="inlineStr">
        <is>
          <t>Semrush tracking (project 2824033)</t>
        </is>
      </c>
      <c r="G24" s="9" t="n"/>
      <c r="H24" s="9" t="n">
        <v>10</v>
      </c>
      <c r="I24" s="9" t="n">
        <v>32</v>
      </c>
      <c r="J24" s="9" t="inlineStr">
        <is>
          <t>/</t>
        </is>
      </c>
      <c r="K24" s="9" t="inlineStr">
        <is>
          <t>/</t>
        </is>
      </c>
      <c r="L24" s="11" t="inlineStr"/>
    </row>
    <row r="25">
      <c r="A25" s="9" t="inlineStr">
        <is>
          <t>Surrey</t>
        </is>
      </c>
      <c r="B25" s="9" t="inlineStr">
        <is>
          <t>Hot water tanks</t>
        </is>
      </c>
      <c r="C25" s="9" t="inlineStr">
        <is>
          <t>hot water tank replacement surrey</t>
        </is>
      </c>
      <c r="D25" s="12" t="inlineStr">
        <is>
          <t>Keep</t>
        </is>
      </c>
      <c r="E25" s="11" t="inlineStr"/>
      <c r="F25" s="11" t="inlineStr">
        <is>
          <t>Semrush tracking (project 2824033)</t>
        </is>
      </c>
      <c r="G25" s="9" t="n">
        <v>50</v>
      </c>
      <c r="H25" s="9" t="n">
        <v>30</v>
      </c>
      <c r="I25" s="9" t="n">
        <v>6</v>
      </c>
      <c r="J25" s="9" t="inlineStr">
        <is>
          <t>/services/plumbing/hot-water-tanks/</t>
        </is>
      </c>
      <c r="K25" s="9" t="inlineStr">
        <is>
          <t>/services/plumbing/hot-water-tanks/</t>
        </is>
      </c>
      <c r="L25" s="11" t="inlineStr"/>
    </row>
    <row r="26">
      <c r="A26" s="9" t="inlineStr">
        <is>
          <t>Surrey</t>
        </is>
      </c>
      <c r="B26" s="9" t="inlineStr">
        <is>
          <t>Hot water tanks</t>
        </is>
      </c>
      <c r="C26" s="9" t="inlineStr">
        <is>
          <t>hot water tank repair surrey</t>
        </is>
      </c>
      <c r="D26" s="12" t="inlineStr">
        <is>
          <t>Keep</t>
        </is>
      </c>
      <c r="E26" s="11" t="inlineStr"/>
      <c r="F26" s="11" t="inlineStr">
        <is>
          <t>Semrush tracking (project 2824033)</t>
        </is>
      </c>
      <c r="G26" s="9" t="n">
        <v>30</v>
      </c>
      <c r="H26" s="9" t="n">
        <v>20</v>
      </c>
      <c r="I26" s="9" t="n">
        <v>5</v>
      </c>
      <c r="J26" s="9" t="inlineStr">
        <is>
          <t>/services/plumbing/hot-water-tanks/</t>
        </is>
      </c>
      <c r="K26" s="9" t="inlineStr">
        <is>
          <t>/services/plumbing/hot-water-tanks/</t>
        </is>
      </c>
      <c r="L26" s="11" t="inlineStr"/>
    </row>
    <row r="27">
      <c r="A27" s="9" t="inlineStr">
        <is>
          <t>Surrey</t>
        </is>
      </c>
      <c r="B27" s="9" t="inlineStr">
        <is>
          <t>Hot water tanks</t>
        </is>
      </c>
      <c r="C27" s="9" t="inlineStr">
        <is>
          <t>hot water tank installation surrey</t>
        </is>
      </c>
      <c r="D27" s="12" t="inlineStr">
        <is>
          <t>Keep</t>
        </is>
      </c>
      <c r="E27" s="11" t="inlineStr"/>
      <c r="F27" s="11" t="inlineStr">
        <is>
          <t>Semrush tracking (project 2824033)</t>
        </is>
      </c>
      <c r="G27" s="9" t="n">
        <v>20</v>
      </c>
      <c r="H27" s="9" t="n">
        <v>10</v>
      </c>
      <c r="I27" s="9" t="n">
        <v>5</v>
      </c>
      <c r="J27" s="9" t="inlineStr">
        <is>
          <t>/services/plumbing/hot-water-tanks/</t>
        </is>
      </c>
      <c r="K27" s="9" t="inlineStr">
        <is>
          <t>/services/plumbing/hot-water-tanks/</t>
        </is>
      </c>
      <c r="L27" s="11" t="inlineStr"/>
    </row>
    <row r="28">
      <c r="A28" s="9" t="inlineStr">
        <is>
          <t>Surrey</t>
        </is>
      </c>
      <c r="B28" s="9" t="inlineStr">
        <is>
          <t>Hot water tanks</t>
        </is>
      </c>
      <c r="C28" s="9" t="inlineStr">
        <is>
          <t>water heater repair surrey</t>
        </is>
      </c>
      <c r="D28" s="10" t="inlineStr">
        <is>
          <t>Add</t>
        </is>
      </c>
      <c r="E28" s="11" t="inlineStr">
        <is>
          <t>New service / gap term</t>
        </is>
      </c>
      <c r="F28" s="11" t="inlineStr">
        <is>
          <t>Gap list (keywords.md s.5): KW Research sheet 2024 / Client Overview 2026</t>
        </is>
      </c>
      <c r="G28" s="9" t="n">
        <v>20</v>
      </c>
      <c r="H28" s="9" t="n"/>
      <c r="I28" s="9" t="n"/>
      <c r="J28" s="9" t="n"/>
      <c r="K28" s="9" t="inlineStr">
        <is>
          <t>/services/plumbing/hot-water-tanks/</t>
        </is>
      </c>
      <c r="L28" s="11" t="inlineStr"/>
    </row>
    <row r="29">
      <c r="A29" s="9" t="inlineStr">
        <is>
          <t>Surrey</t>
        </is>
      </c>
      <c r="B29" s="9" t="inlineStr">
        <is>
          <t>Hot water tanks</t>
        </is>
      </c>
      <c r="C29" s="9" t="inlineStr">
        <is>
          <t>hot water tank services surrey</t>
        </is>
      </c>
      <c r="D29" s="12" t="inlineStr">
        <is>
          <t>Keep</t>
        </is>
      </c>
      <c r="E29" s="11" t="inlineStr"/>
      <c r="F29" s="11" t="inlineStr">
        <is>
          <t>Semrush tracking (project 2824033)</t>
        </is>
      </c>
      <c r="G29" s="9" t="n">
        <v>10</v>
      </c>
      <c r="H29" s="9" t="n">
        <v>10</v>
      </c>
      <c r="I29" s="9" t="n">
        <v>5</v>
      </c>
      <c r="J29" s="9" t="inlineStr">
        <is>
          <t>/services/plumbing/hot-water-tanks/</t>
        </is>
      </c>
      <c r="K29" s="9" t="inlineStr">
        <is>
          <t>/services/plumbing/hot-water-tanks/</t>
        </is>
      </c>
      <c r="L29" s="11" t="inlineStr"/>
    </row>
    <row r="30">
      <c r="A30" s="9" t="inlineStr">
        <is>
          <t>Surrey</t>
        </is>
      </c>
      <c r="B30" s="9" t="inlineStr">
        <is>
          <t>Hot water tanks</t>
        </is>
      </c>
      <c r="C30" s="9" t="inlineStr">
        <is>
          <t>water heater south surrey</t>
        </is>
      </c>
      <c r="D30" s="12" t="inlineStr">
        <is>
          <t>Keep</t>
        </is>
      </c>
      <c r="E30" s="11" t="inlineStr">
        <is>
          <t>Location-specific (South Surrey, where the business is based)</t>
        </is>
      </c>
      <c r="F30" s="11" t="inlineStr">
        <is>
          <t>Semrush tracking (project 2824033)</t>
        </is>
      </c>
      <c r="G30" s="9" t="n">
        <v>10</v>
      </c>
      <c r="H30" s="9" t="n">
        <v>10</v>
      </c>
      <c r="I30" s="9" t="n">
        <v>3</v>
      </c>
      <c r="J30" s="9" t="inlineStr">
        <is>
          <t>/</t>
        </is>
      </c>
      <c r="K30" s="9" t="inlineStr">
        <is>
          <t>/services/plumbing/hot-water-tanks/</t>
        </is>
      </c>
      <c r="L30" s="11" t="inlineStr"/>
    </row>
    <row r="31">
      <c r="A31" s="9" t="inlineStr">
        <is>
          <t>Surrey</t>
        </is>
      </c>
      <c r="B31" s="9" t="inlineStr">
        <is>
          <t>Plumbing (general)</t>
        </is>
      </c>
      <c r="C31" s="9" t="inlineStr">
        <is>
          <t>plumber in surrey</t>
        </is>
      </c>
      <c r="D31" s="12" t="inlineStr">
        <is>
          <t>Keep</t>
        </is>
      </c>
      <c r="E31" s="11" t="inlineStr"/>
      <c r="F31" s="11" t="inlineStr">
        <is>
          <t>Semrush tracking (project 2824033)</t>
        </is>
      </c>
      <c r="G31" s="9" t="n">
        <v>2400</v>
      </c>
      <c r="H31" s="9" t="n">
        <v>1300</v>
      </c>
      <c r="I31" s="9" t="n">
        <v>12</v>
      </c>
      <c r="J31" s="9" t="inlineStr">
        <is>
          <t>/</t>
        </is>
      </c>
      <c r="K31" s="9" t="inlineStr">
        <is>
          <t>/</t>
        </is>
      </c>
      <c r="L31" s="11" t="inlineStr"/>
    </row>
    <row r="32">
      <c r="A32" s="9" t="inlineStr">
        <is>
          <t>Surrey</t>
        </is>
      </c>
      <c r="B32" s="9" t="inlineStr">
        <is>
          <t>Plumbing (general)</t>
        </is>
      </c>
      <c r="C32" s="9" t="inlineStr">
        <is>
          <t>plumbers in surrey bc</t>
        </is>
      </c>
      <c r="D32" s="12" t="inlineStr">
        <is>
          <t>Keep</t>
        </is>
      </c>
      <c r="E32" s="11" t="inlineStr"/>
      <c r="F32" s="11" t="inlineStr">
        <is>
          <t>Semrush tracking (project 2824033)</t>
        </is>
      </c>
      <c r="G32" s="9" t="n">
        <v>2400</v>
      </c>
      <c r="H32" s="9" t="n">
        <v>210</v>
      </c>
      <c r="I32" s="9" t="n">
        <v>10</v>
      </c>
      <c r="J32" s="9" t="inlineStr">
        <is>
          <t>/</t>
        </is>
      </c>
      <c r="K32" s="9" t="inlineStr">
        <is>
          <t>/</t>
        </is>
      </c>
      <c r="L32" s="11" t="inlineStr"/>
    </row>
    <row r="33">
      <c r="A33" s="9" t="inlineStr">
        <is>
          <t>Surrey</t>
        </is>
      </c>
      <c r="B33" s="9" t="inlineStr">
        <is>
          <t>Plumbing (general)</t>
        </is>
      </c>
      <c r="C33" s="9" t="inlineStr">
        <is>
          <t>plumber surrey</t>
        </is>
      </c>
      <c r="D33" s="12" t="inlineStr">
        <is>
          <t>Keep</t>
        </is>
      </c>
      <c r="E33" s="11" t="inlineStr"/>
      <c r="F33" s="11" t="inlineStr">
        <is>
          <t>Semrush tracking (project 2824033)</t>
        </is>
      </c>
      <c r="G33" s="9" t="n"/>
      <c r="H33" s="9" t="n">
        <v>1300</v>
      </c>
      <c r="I33" s="9" t="n">
        <v>14</v>
      </c>
      <c r="J33" s="9" t="inlineStr">
        <is>
          <t>/</t>
        </is>
      </c>
      <c r="K33" s="9" t="inlineStr">
        <is>
          <t>/</t>
        </is>
      </c>
      <c r="L33" s="11" t="inlineStr"/>
    </row>
    <row r="34">
      <c r="A34" s="9" t="inlineStr">
        <is>
          <t>Surrey</t>
        </is>
      </c>
      <c r="B34" s="9" t="inlineStr">
        <is>
          <t>Plumbing (general)</t>
        </is>
      </c>
      <c r="C34" s="9" t="inlineStr">
        <is>
          <t>plumbers surrey</t>
        </is>
      </c>
      <c r="D34" s="12" t="inlineStr">
        <is>
          <t>Keep</t>
        </is>
      </c>
      <c r="E34" s="11" t="inlineStr"/>
      <c r="F34" s="11" t="inlineStr">
        <is>
          <t>Semrush tracking (project 2824033)</t>
        </is>
      </c>
      <c r="G34" s="9" t="n"/>
      <c r="H34" s="9" t="n">
        <v>1300</v>
      </c>
      <c r="I34" s="9" t="n">
        <v>15</v>
      </c>
      <c r="J34" s="9" t="inlineStr">
        <is>
          <t>/</t>
        </is>
      </c>
      <c r="K34" s="9" t="inlineStr">
        <is>
          <t>/</t>
        </is>
      </c>
      <c r="L34" s="11" t="inlineStr"/>
    </row>
    <row r="35">
      <c r="A35" s="9" t="inlineStr">
        <is>
          <t>Surrey</t>
        </is>
      </c>
      <c r="B35" s="9" t="inlineStr">
        <is>
          <t>Plumbing (general)</t>
        </is>
      </c>
      <c r="C35" s="9" t="inlineStr">
        <is>
          <t>surrey plumbing</t>
        </is>
      </c>
      <c r="D35" s="12" t="inlineStr">
        <is>
          <t>Keep</t>
        </is>
      </c>
      <c r="E35" s="11" t="inlineStr"/>
      <c r="F35" s="11" t="inlineStr">
        <is>
          <t>Semrush tracking (project 2824033)</t>
        </is>
      </c>
      <c r="G35" s="9" t="n"/>
      <c r="H35" s="9" t="n">
        <v>1300</v>
      </c>
      <c r="I35" s="9" t="n"/>
      <c r="J35" s="9" t="n"/>
      <c r="K35" s="9" t="inlineStr">
        <is>
          <t>/</t>
        </is>
      </c>
      <c r="L35" s="11" t="inlineStr"/>
    </row>
    <row r="36">
      <c r="A36" s="9" t="inlineStr">
        <is>
          <t>Surrey</t>
        </is>
      </c>
      <c r="B36" s="9" t="inlineStr">
        <is>
          <t>Plumbing (general)</t>
        </is>
      </c>
      <c r="C36" s="9" t="inlineStr">
        <is>
          <t>plumbing company surrey</t>
        </is>
      </c>
      <c r="D36" s="12" t="inlineStr">
        <is>
          <t>Keep</t>
        </is>
      </c>
      <c r="E36" s="11" t="inlineStr"/>
      <c r="F36" s="11" t="inlineStr">
        <is>
          <t>Semrush tracking (project 2824033)</t>
        </is>
      </c>
      <c r="G36" s="9" t="n">
        <v>260</v>
      </c>
      <c r="H36" s="9" t="n">
        <v>110</v>
      </c>
      <c r="I36" s="9" t="n">
        <v>17</v>
      </c>
      <c r="J36" s="9" t="inlineStr">
        <is>
          <t>/</t>
        </is>
      </c>
      <c r="K36" s="9" t="inlineStr">
        <is>
          <t>/</t>
        </is>
      </c>
      <c r="L36" s="11" t="inlineStr"/>
    </row>
    <row r="37">
      <c r="A37" s="9" t="inlineStr">
        <is>
          <t>Surrey</t>
        </is>
      </c>
      <c r="B37" s="9" t="inlineStr">
        <is>
          <t>Plumbing (general)</t>
        </is>
      </c>
      <c r="C37" s="9" t="inlineStr">
        <is>
          <t>plumber south surrey</t>
        </is>
      </c>
      <c r="D37" s="12" t="inlineStr">
        <is>
          <t>Keep</t>
        </is>
      </c>
      <c r="E37" s="11" t="inlineStr">
        <is>
          <t>Location-specific (South Surrey, where the business is based)</t>
        </is>
      </c>
      <c r="F37" s="11" t="inlineStr">
        <is>
          <t>Semrush tracking (project 2824033)</t>
        </is>
      </c>
      <c r="G37" s="9" t="n">
        <v>210</v>
      </c>
      <c r="H37" s="9" t="n">
        <v>170</v>
      </c>
      <c r="I37" s="9" t="n"/>
      <c r="J37" s="9" t="inlineStr">
        <is>
          <t>/</t>
        </is>
      </c>
      <c r="K37" s="9" t="inlineStr">
        <is>
          <t>/</t>
        </is>
      </c>
      <c r="L37" s="11" t="inlineStr">
        <is>
          <t>Hilltop ranks #6-7 here; we are not in the top 100.</t>
        </is>
      </c>
    </row>
    <row r="38">
      <c r="A38" s="9" t="inlineStr">
        <is>
          <t>Surrey</t>
        </is>
      </c>
      <c r="B38" s="9" t="inlineStr">
        <is>
          <t>Plumbing (general)</t>
        </is>
      </c>
      <c r="C38" s="9" t="inlineStr">
        <is>
          <t>plumbers surrey bc</t>
        </is>
      </c>
      <c r="D38" s="12" t="inlineStr">
        <is>
          <t>Keep</t>
        </is>
      </c>
      <c r="E38" s="11" t="inlineStr"/>
      <c r="F38" s="11" t="inlineStr">
        <is>
          <t>Semrush tracking (project 2824033)</t>
        </is>
      </c>
      <c r="G38" s="9" t="n"/>
      <c r="H38" s="9" t="n">
        <v>210</v>
      </c>
      <c r="I38" s="9" t="n">
        <v>10</v>
      </c>
      <c r="J38" s="9" t="inlineStr">
        <is>
          <t>/</t>
        </is>
      </c>
      <c r="K38" s="9" t="inlineStr">
        <is>
          <t>/</t>
        </is>
      </c>
      <c r="L38" s="11" t="inlineStr"/>
    </row>
    <row r="39">
      <c r="A39" s="9" t="inlineStr">
        <is>
          <t>Surrey</t>
        </is>
      </c>
      <c r="B39" s="9" t="inlineStr">
        <is>
          <t>Plumbing (general)</t>
        </is>
      </c>
      <c r="C39" s="9" t="inlineStr">
        <is>
          <t>plumbing services surrey</t>
        </is>
      </c>
      <c r="D39" s="12" t="inlineStr">
        <is>
          <t>Keep</t>
        </is>
      </c>
      <c r="E39" s="11" t="inlineStr"/>
      <c r="F39" s="11" t="inlineStr">
        <is>
          <t>Semrush tracking (project 2824033)</t>
        </is>
      </c>
      <c r="G39" s="9" t="n">
        <v>170</v>
      </c>
      <c r="H39" s="9" t="n">
        <v>90</v>
      </c>
      <c r="I39" s="9" t="n">
        <v>17</v>
      </c>
      <c r="J39" s="9" t="inlineStr">
        <is>
          <t>/</t>
        </is>
      </c>
      <c r="K39" s="9" t="inlineStr">
        <is>
          <t>/</t>
        </is>
      </c>
      <c r="L39" s="11" t="inlineStr"/>
    </row>
    <row r="40">
      <c r="A40" s="9" t="inlineStr">
        <is>
          <t>Surrey</t>
        </is>
      </c>
      <c r="B40" s="9" t="inlineStr">
        <is>
          <t>Plumbing (general)</t>
        </is>
      </c>
      <c r="C40" s="9" t="inlineStr">
        <is>
          <t>south surrey plumbing</t>
        </is>
      </c>
      <c r="D40" s="12" t="inlineStr">
        <is>
          <t>Keep</t>
        </is>
      </c>
      <c r="E40" s="11" t="inlineStr">
        <is>
          <t>Location-specific (South Surrey, where the business is based)</t>
        </is>
      </c>
      <c r="F40" s="11" t="inlineStr">
        <is>
          <t>Semrush tracking (project 2824033)</t>
        </is>
      </c>
      <c r="G40" s="9" t="n"/>
      <c r="H40" s="9" t="n">
        <v>170</v>
      </c>
      <c r="I40" s="9" t="n"/>
      <c r="J40" s="9" t="n"/>
      <c r="K40" s="9" t="inlineStr">
        <is>
          <t>/</t>
        </is>
      </c>
      <c r="L40" s="11" t="inlineStr">
        <is>
          <t>Hilltop ranks #6-7 here; we are not in the top 100.</t>
        </is>
      </c>
    </row>
    <row r="41">
      <c r="A41" s="9" t="inlineStr">
        <is>
          <t>Surrey</t>
        </is>
      </c>
      <c r="B41" s="9" t="inlineStr">
        <is>
          <t>Plumbing (general)</t>
        </is>
      </c>
      <c r="C41" s="9" t="inlineStr">
        <is>
          <t>best plumber surrey</t>
        </is>
      </c>
      <c r="D41" s="12" t="inlineStr">
        <is>
          <t>Keep</t>
        </is>
      </c>
      <c r="E41" s="11" t="inlineStr"/>
      <c r="F41" s="11" t="inlineStr">
        <is>
          <t>Semrush tracking (project 2824033)</t>
        </is>
      </c>
      <c r="G41" s="9" t="n">
        <v>70</v>
      </c>
      <c r="H41" s="9" t="n">
        <v>20</v>
      </c>
      <c r="I41" s="9" t="n">
        <v>3</v>
      </c>
      <c r="J41" s="9" t="inlineStr">
        <is>
          <t>/</t>
        </is>
      </c>
      <c r="K41" s="9" t="inlineStr">
        <is>
          <t>/</t>
        </is>
      </c>
      <c r="L41" s="11" t="inlineStr">
        <is>
          <t>Track only. No "best" or superlatives in copy (brand rule).</t>
        </is>
      </c>
    </row>
    <row r="42">
      <c r="A42" s="9" t="inlineStr">
        <is>
          <t>Surrey</t>
        </is>
      </c>
      <c r="B42" s="9" t="inlineStr">
        <is>
          <t>Plumbing (general)</t>
        </is>
      </c>
      <c r="C42" s="9" t="inlineStr">
        <is>
          <t>plumber cloverdale</t>
        </is>
      </c>
      <c r="D42" s="10" t="inlineStr">
        <is>
          <t>Add</t>
        </is>
      </c>
      <c r="E42" s="11" t="inlineStr">
        <is>
          <t>Location-specific: client priority area</t>
        </is>
      </c>
      <c r="F42" s="11" t="inlineStr">
        <is>
          <t>Client priority areas (Client Briefing 2026)</t>
        </is>
      </c>
      <c r="G42" s="9" t="n">
        <v>20</v>
      </c>
      <c r="H42" s="9" t="n"/>
      <c r="I42" s="9" t="n"/>
      <c r="J42" s="9" t="n"/>
      <c r="K42" s="9" t="inlineStr">
        <is>
          <t>/</t>
        </is>
      </c>
      <c r="L42" s="11" t="inlineStr"/>
    </row>
    <row r="43">
      <c r="A43" s="9" t="inlineStr">
        <is>
          <t>Surrey</t>
        </is>
      </c>
      <c r="B43" s="9" t="inlineStr">
        <is>
          <t>Plumbing (general)</t>
        </is>
      </c>
      <c r="C43" s="9" t="inlineStr">
        <is>
          <t>plumber guildford</t>
        </is>
      </c>
      <c r="D43" s="10" t="inlineStr">
        <is>
          <t>Add</t>
        </is>
      </c>
      <c r="E43" s="11" t="inlineStr">
        <is>
          <t>Location-specific: client priority area</t>
        </is>
      </c>
      <c r="F43" s="11" t="inlineStr">
        <is>
          <t>Client priority areas (Client Briefing 2026)</t>
        </is>
      </c>
      <c r="G43" s="9" t="n">
        <v>10</v>
      </c>
      <c r="H43" s="9" t="n"/>
      <c r="I43" s="9" t="n"/>
      <c r="J43" s="9" t="n"/>
      <c r="K43" s="9" t="inlineStr">
        <is>
          <t>/</t>
        </is>
      </c>
      <c r="L43" s="11" t="inlineStr"/>
    </row>
    <row r="44">
      <c r="A44" s="9" t="inlineStr">
        <is>
          <t>Surrey</t>
        </is>
      </c>
      <c r="B44" s="9" t="inlineStr">
        <is>
          <t>Plumbing (general)</t>
        </is>
      </c>
      <c r="C44" s="9" t="inlineStr">
        <is>
          <t>cloverdale plumbing</t>
        </is>
      </c>
      <c r="D44" s="10" t="inlineStr">
        <is>
          <t>Add</t>
        </is>
      </c>
      <c r="E44" s="11" t="inlineStr">
        <is>
          <t>Location-specific: client priority area</t>
        </is>
      </c>
      <c r="F44" s="11" t="inlineStr">
        <is>
          <t>Client priority areas (Client Briefing 2026)</t>
        </is>
      </c>
      <c r="G44" s="9" t="n"/>
      <c r="H44" s="9" t="n"/>
      <c r="I44" s="9" t="n"/>
      <c r="J44" s="9" t="n"/>
      <c r="K44" s="9" t="inlineStr">
        <is>
          <t>/</t>
        </is>
      </c>
      <c r="L44" s="11" t="inlineStr">
        <is>
          <t>Planner grouped this with a close variant.</t>
        </is>
      </c>
    </row>
    <row r="45">
      <c r="A45" s="9" t="inlineStr">
        <is>
          <t>Surrey</t>
        </is>
      </c>
      <c r="B45" s="9" t="inlineStr">
        <is>
          <t>Radiant / in-floor</t>
        </is>
      </c>
      <c r="C45" s="9" t="inlineStr">
        <is>
          <t>in floor heating surrey</t>
        </is>
      </c>
      <c r="D45" s="12" t="inlineStr">
        <is>
          <t>Keep</t>
        </is>
      </c>
      <c r="E45" s="11" t="inlineStr"/>
      <c r="F45" s="11" t="inlineStr">
        <is>
          <t>Semrush tracking (project 2824033)</t>
        </is>
      </c>
      <c r="G45" s="9" t="n">
        <v>10</v>
      </c>
      <c r="H45" s="9" t="n">
        <v>10</v>
      </c>
      <c r="I45" s="9" t="n">
        <v>2</v>
      </c>
      <c r="J45" s="9" t="inlineStr">
        <is>
          <t>/services/plumbing/radiant-in-floor-heating/</t>
        </is>
      </c>
      <c r="K45" s="9" t="inlineStr">
        <is>
          <t>/services/plumbing/radiant-in-floor-heating/</t>
        </is>
      </c>
      <c r="L45" s="11" t="inlineStr"/>
    </row>
    <row r="46">
      <c r="A46" s="9" t="inlineStr">
        <is>
          <t>Surrey</t>
        </is>
      </c>
      <c r="B46" s="9" t="inlineStr">
        <is>
          <t>Radiant / in-floor</t>
        </is>
      </c>
      <c r="C46" s="9" t="inlineStr">
        <is>
          <t>radiant heating surrey</t>
        </is>
      </c>
      <c r="D46" s="12" t="inlineStr">
        <is>
          <t>Keep</t>
        </is>
      </c>
      <c r="E46" s="11" t="inlineStr"/>
      <c r="F46" s="11" t="inlineStr">
        <is>
          <t>Semrush tracking (project 2824033)</t>
        </is>
      </c>
      <c r="G46" s="9" t="n">
        <v>10</v>
      </c>
      <c r="H46" s="9" t="n">
        <v>10</v>
      </c>
      <c r="I46" s="9" t="n">
        <v>3</v>
      </c>
      <c r="J46" s="9" t="inlineStr">
        <is>
          <t>/</t>
        </is>
      </c>
      <c r="K46" s="9" t="inlineStr">
        <is>
          <t>/services/plumbing/radiant-in-floor-heating/</t>
        </is>
      </c>
      <c r="L46" s="11" t="inlineStr"/>
    </row>
    <row r="47">
      <c r="A47" s="9" t="inlineStr">
        <is>
          <t>Surrey</t>
        </is>
      </c>
      <c r="B47" s="9" t="inlineStr">
        <is>
          <t>Tankless</t>
        </is>
      </c>
      <c r="C47" s="9" t="inlineStr">
        <is>
          <t>tankless water heater installation surrey</t>
        </is>
      </c>
      <c r="D47" s="12" t="inlineStr">
        <is>
          <t>Keep</t>
        </is>
      </c>
      <c r="E47" s="11" t="inlineStr"/>
      <c r="F47" s="11" t="inlineStr">
        <is>
          <t>Semrush tracking (project 2824033)</t>
        </is>
      </c>
      <c r="G47" s="9" t="n">
        <v>20</v>
      </c>
      <c r="H47" s="9" t="n">
        <v>10</v>
      </c>
      <c r="I47" s="9" t="n">
        <v>12</v>
      </c>
      <c r="J47" s="9" t="inlineStr">
        <is>
          <t>/services/plumbing/tankless-water-heaters/</t>
        </is>
      </c>
      <c r="K47" s="9" t="inlineStr">
        <is>
          <t>/services/plumbing/tankless-water-heaters/</t>
        </is>
      </c>
      <c r="L47" s="11" t="inlineStr"/>
    </row>
    <row r="48">
      <c r="A48" s="9" t="inlineStr">
        <is>
          <t>Surrey</t>
        </is>
      </c>
      <c r="B48" s="9" t="inlineStr">
        <is>
          <t>Tankless</t>
        </is>
      </c>
      <c r="C48" s="9" t="inlineStr">
        <is>
          <t>tankless water heater repair surrey</t>
        </is>
      </c>
      <c r="D48" s="12" t="inlineStr">
        <is>
          <t>Keep</t>
        </is>
      </c>
      <c r="E48" s="11" t="inlineStr"/>
      <c r="F48" s="11" t="inlineStr">
        <is>
          <t>Semrush tracking (project 2824033)</t>
        </is>
      </c>
      <c r="G48" s="9" t="n">
        <v>10</v>
      </c>
      <c r="H48" s="9" t="n">
        <v>10</v>
      </c>
      <c r="I48" s="9" t="n">
        <v>5</v>
      </c>
      <c r="J48" s="9" t="inlineStr">
        <is>
          <t>/services/plumbing/tankless-water-heaters/</t>
        </is>
      </c>
      <c r="K48" s="9" t="inlineStr">
        <is>
          <t>/services/plumbing/tankless-water-heaters/</t>
        </is>
      </c>
      <c r="L48" s="11" t="inlineStr">
        <is>
          <t>Kept despite low volume (20/mo combined): core Navien/tankless repair service.</t>
        </is>
      </c>
    </row>
    <row r="49">
      <c r="A49" s="9" t="inlineStr">
        <is>
          <t>Surrey</t>
        </is>
      </c>
      <c r="B49" s="9" t="inlineStr">
        <is>
          <t>Tankless</t>
        </is>
      </c>
      <c r="C49" s="9" t="inlineStr">
        <is>
          <t>tankless water heater services surrey</t>
        </is>
      </c>
      <c r="D49" s="12" t="inlineStr">
        <is>
          <t>Keep</t>
        </is>
      </c>
      <c r="E49" s="11" t="inlineStr"/>
      <c r="F49" s="11" t="inlineStr">
        <is>
          <t>Semrush tracking (project 2824033)</t>
        </is>
      </c>
      <c r="G49" s="9" t="n">
        <v>10</v>
      </c>
      <c r="H49" s="9" t="n">
        <v>10</v>
      </c>
      <c r="I49" s="9" t="n">
        <v>9</v>
      </c>
      <c r="J49" s="9" t="inlineStr">
        <is>
          <t>/services/plumbing/tankless-water-heaters/</t>
        </is>
      </c>
      <c r="K49" s="9" t="inlineStr">
        <is>
          <t>/services/plumbing/tankless-water-heaters/</t>
        </is>
      </c>
      <c r="L49" s="11" t="inlineStr"/>
    </row>
    <row r="50">
      <c r="A50" s="9" t="inlineStr">
        <is>
          <t>White Rock</t>
        </is>
      </c>
      <c r="B50" s="9" t="inlineStr">
        <is>
          <t>Air conditioning</t>
        </is>
      </c>
      <c r="C50" s="9" t="inlineStr">
        <is>
          <t>air conditioner white rock</t>
        </is>
      </c>
      <c r="D50" s="12" t="inlineStr">
        <is>
          <t>Keep</t>
        </is>
      </c>
      <c r="E50" s="11" t="inlineStr"/>
      <c r="F50" s="11" t="inlineStr">
        <is>
          <t>Semrush tracking (project 2824033)</t>
        </is>
      </c>
      <c r="G50" s="9" t="n">
        <v>10</v>
      </c>
      <c r="H50" s="9" t="n">
        <v>10</v>
      </c>
      <c r="I50" s="9" t="n">
        <v>37</v>
      </c>
      <c r="J50" s="9" t="inlineStr">
        <is>
          <t>/services/heating-cooling/air-conditioning/</t>
        </is>
      </c>
      <c r="K50" s="9" t="inlineStr">
        <is>
          <t>/services/heating-cooling/air-conditioning/</t>
        </is>
      </c>
      <c r="L50" s="11" t="inlineStr"/>
    </row>
    <row r="51">
      <c r="A51" s="9" t="inlineStr">
        <is>
          <t>White Rock</t>
        </is>
      </c>
      <c r="B51" s="9" t="inlineStr">
        <is>
          <t>Air conditioning</t>
        </is>
      </c>
      <c r="C51" s="9" t="inlineStr">
        <is>
          <t>white rock air conditioning</t>
        </is>
      </c>
      <c r="D51" s="10" t="inlineStr">
        <is>
          <t>Add</t>
        </is>
      </c>
      <c r="E51" s="11" t="inlineStr">
        <is>
          <t>Mirrors the same keyword in all 3 markets</t>
        </is>
      </c>
      <c r="F51" s="11" t="inlineStr">
        <is>
          <t>Mirror of tracked Surrey keyword</t>
        </is>
      </c>
      <c r="G51" s="9" t="n">
        <v>10</v>
      </c>
      <c r="H51" s="9" t="n"/>
      <c r="I51" s="9" t="n"/>
      <c r="J51" s="9" t="n"/>
      <c r="K51" s="9" t="inlineStr">
        <is>
          <t>/services/heating-cooling/air-conditioning/</t>
        </is>
      </c>
      <c r="L51" s="11" t="inlineStr"/>
    </row>
    <row r="52">
      <c r="A52" s="9" t="inlineStr">
        <is>
          <t>White Rock</t>
        </is>
      </c>
      <c r="B52" s="9" t="inlineStr">
        <is>
          <t>Air conditioning</t>
        </is>
      </c>
      <c r="C52" s="9" t="inlineStr">
        <is>
          <t>ac repair white rock</t>
        </is>
      </c>
      <c r="D52" s="10" t="inlineStr">
        <is>
          <t>Add</t>
        </is>
      </c>
      <c r="E52" s="11" t="inlineStr">
        <is>
          <t>New service / gap term</t>
        </is>
      </c>
      <c r="F52" s="11" t="inlineStr">
        <is>
          <t>Gap list (keywords.md s.5): client service change 2026-08-20</t>
        </is>
      </c>
      <c r="G52" s="9" t="n"/>
      <c r="H52" s="9" t="n"/>
      <c r="I52" s="9" t="n"/>
      <c r="J52" s="9" t="n"/>
      <c r="K52" s="9" t="inlineStr">
        <is>
          <t>/services/heating-cooling/air-conditioning/</t>
        </is>
      </c>
      <c r="L52" s="11" t="inlineStr">
        <is>
          <t>AC / heat pump repair offered since 2026-08-20; live AC and heat pump pages still say "installs only" (fix before pushing these). Planner grouped this with a close variant.</t>
        </is>
      </c>
    </row>
    <row r="53">
      <c r="A53" s="9" t="inlineStr">
        <is>
          <t>White Rock</t>
        </is>
      </c>
      <c r="B53" s="9" t="inlineStr">
        <is>
          <t>Air conditioning</t>
        </is>
      </c>
      <c r="C53" s="9" t="inlineStr">
        <is>
          <t>air conditioning repair white rock</t>
        </is>
      </c>
      <c r="D53" s="10" t="inlineStr">
        <is>
          <t>Add</t>
        </is>
      </c>
      <c r="E53" s="11" t="inlineStr">
        <is>
          <t>Mirrors the same keyword in all 3 markets</t>
        </is>
      </c>
      <c r="F53" s="11" t="inlineStr">
        <is>
          <t>Mirror of tracked Surrey + Langley keyword</t>
        </is>
      </c>
      <c r="G53" s="9" t="n">
        <v>0</v>
      </c>
      <c r="H53" s="9" t="n"/>
      <c r="I53" s="9" t="n"/>
      <c r="J53" s="9" t="n"/>
      <c r="K53" s="9" t="inlineStr">
        <is>
          <t>/services/heating-cooling/air-conditioning/</t>
        </is>
      </c>
      <c r="L53" s="11" t="inlineStr">
        <is>
          <t>AC / heat pump repair offered since 2026-08-20; live AC and heat pump pages still say "installs only" (fix before pushing these).</t>
        </is>
      </c>
    </row>
    <row r="54">
      <c r="A54" s="9" t="inlineStr">
        <is>
          <t>White Rock</t>
        </is>
      </c>
      <c r="B54" s="9" t="inlineStr">
        <is>
          <t>Air conditioning</t>
        </is>
      </c>
      <c r="C54" s="9" t="inlineStr">
        <is>
          <t>hvac repair white rock</t>
        </is>
      </c>
      <c r="D54" s="10" t="inlineStr">
        <is>
          <t>Add</t>
        </is>
      </c>
      <c r="E54" s="11" t="inlineStr">
        <is>
          <t>New service / gap term</t>
        </is>
      </c>
      <c r="F54" s="11" t="inlineStr">
        <is>
          <t>Gap list (keywords.md s.5): client service change 2026-08-20</t>
        </is>
      </c>
      <c r="G54" s="9" t="n">
        <v>0</v>
      </c>
      <c r="H54" s="9" t="n"/>
      <c r="I54" s="9" t="n"/>
      <c r="J54" s="9" t="n"/>
      <c r="K54" s="9" t="inlineStr">
        <is>
          <t>/services/heating-cooling/air-conditioning/</t>
        </is>
      </c>
      <c r="L54" s="11" t="inlineStr">
        <is>
          <t>AC / heat pump repair offered since 2026-08-20; live AC and heat pump pages still say "installs only" (fix before pushing these). Residential only; no commercial HVAC.</t>
        </is>
      </c>
    </row>
    <row r="55">
      <c r="A55" s="9" t="inlineStr">
        <is>
          <t>White Rock</t>
        </is>
      </c>
      <c r="B55" s="9" t="inlineStr">
        <is>
          <t>Boilers</t>
        </is>
      </c>
      <c r="C55" s="9" t="inlineStr">
        <is>
          <t>boiler installation white rock</t>
        </is>
      </c>
      <c r="D55" s="12" t="inlineStr">
        <is>
          <t>Keep</t>
        </is>
      </c>
      <c r="E55" s="11" t="inlineStr"/>
      <c r="F55" s="11" t="inlineStr">
        <is>
          <t>Semrush tracking (project 2824033)</t>
        </is>
      </c>
      <c r="G55" s="9" t="n">
        <v>10</v>
      </c>
      <c r="H55" s="9" t="n">
        <v>10</v>
      </c>
      <c r="I55" s="9" t="n">
        <v>15</v>
      </c>
      <c r="J55" s="9" t="inlineStr">
        <is>
          <t>/white-rock-plumbing/</t>
        </is>
      </c>
      <c r="K55" s="9" t="inlineStr">
        <is>
          <t>/boiler-replacement/</t>
        </is>
      </c>
      <c r="L55" s="11" t="inlineStr"/>
    </row>
    <row r="56">
      <c r="A56" s="9" t="inlineStr">
        <is>
          <t>White Rock</t>
        </is>
      </c>
      <c r="B56" s="9" t="inlineStr">
        <is>
          <t>Boilers</t>
        </is>
      </c>
      <c r="C56" s="9" t="inlineStr">
        <is>
          <t>boiler repair white rock</t>
        </is>
      </c>
      <c r="D56" s="12" t="inlineStr">
        <is>
          <t>Keep</t>
        </is>
      </c>
      <c r="E56" s="11" t="inlineStr"/>
      <c r="F56" s="11" t="inlineStr">
        <is>
          <t>Semrush tracking (project 2824033)</t>
        </is>
      </c>
      <c r="G56" s="9" t="n">
        <v>10</v>
      </c>
      <c r="H56" s="9" t="n">
        <v>10</v>
      </c>
      <c r="I56" s="9" t="n">
        <v>5</v>
      </c>
      <c r="J56" s="9" t="inlineStr">
        <is>
          <t>/white-rock-plumbing/</t>
        </is>
      </c>
      <c r="K56" s="9" t="inlineStr">
        <is>
          <t>/services/heating-cooling/boiler-repair/</t>
        </is>
      </c>
      <c r="L56" s="11" t="inlineStr"/>
    </row>
    <row r="57">
      <c r="A57" s="9" t="inlineStr">
        <is>
          <t>White Rock</t>
        </is>
      </c>
      <c r="B57" s="9" t="inlineStr">
        <is>
          <t>Boilers</t>
        </is>
      </c>
      <c r="C57" s="9" t="inlineStr">
        <is>
          <t>boiler services white rock</t>
        </is>
      </c>
      <c r="D57" s="10" t="inlineStr">
        <is>
          <t>Add</t>
        </is>
      </c>
      <c r="E57" s="11" t="inlineStr">
        <is>
          <t>Mirrors the same keyword in all 3 markets</t>
        </is>
      </c>
      <c r="F57" s="11" t="inlineStr">
        <is>
          <t>Mirror of tracked Surrey + Langley keyword</t>
        </is>
      </c>
      <c r="G57" s="9" t="n">
        <v>0</v>
      </c>
      <c r="H57" s="9" t="n"/>
      <c r="I57" s="9" t="n"/>
      <c r="J57" s="9" t="n"/>
      <c r="K57" s="9" t="inlineStr">
        <is>
          <t>/services/heating-cooling/boiler-repair/</t>
        </is>
      </c>
      <c r="L57" s="11" t="inlineStr"/>
    </row>
    <row r="58">
      <c r="A58" s="9" t="inlineStr">
        <is>
          <t>White Rock</t>
        </is>
      </c>
      <c r="B58" s="9" t="inlineStr">
        <is>
          <t>Furnaces</t>
        </is>
      </c>
      <c r="C58" s="9" t="inlineStr">
        <is>
          <t>furnace installation white rock</t>
        </is>
      </c>
      <c r="D58" s="12" t="inlineStr">
        <is>
          <t>Keep</t>
        </is>
      </c>
      <c r="E58" s="11" t="inlineStr"/>
      <c r="F58" s="11" t="inlineStr">
        <is>
          <t>Semrush tracking (project 2824033)</t>
        </is>
      </c>
      <c r="G58" s="9" t="n">
        <v>10</v>
      </c>
      <c r="H58" s="9" t="n">
        <v>10</v>
      </c>
      <c r="I58" s="9" t="n">
        <v>16</v>
      </c>
      <c r="J58" s="9" t="inlineStr">
        <is>
          <t>/services/heating-cooling/furnace-installation/</t>
        </is>
      </c>
      <c r="K58" s="9" t="inlineStr">
        <is>
          <t>/services/heating-cooling/furnace-installation/</t>
        </is>
      </c>
      <c r="L58" s="11" t="inlineStr"/>
    </row>
    <row r="59">
      <c r="A59" s="9" t="inlineStr">
        <is>
          <t>White Rock</t>
        </is>
      </c>
      <c r="B59" s="9" t="inlineStr">
        <is>
          <t>Furnaces</t>
        </is>
      </c>
      <c r="C59" s="9" t="inlineStr">
        <is>
          <t>furnace repair white rock</t>
        </is>
      </c>
      <c r="D59" s="12" t="inlineStr">
        <is>
          <t>Keep</t>
        </is>
      </c>
      <c r="E59" s="11" t="inlineStr"/>
      <c r="F59" s="11" t="inlineStr">
        <is>
          <t>Semrush tracking (project 2824033)</t>
        </is>
      </c>
      <c r="G59" s="9" t="n">
        <v>10</v>
      </c>
      <c r="H59" s="9" t="n">
        <v>90</v>
      </c>
      <c r="I59" s="9" t="n">
        <v>32</v>
      </c>
      <c r="J59" s="9" t="inlineStr">
        <is>
          <t>/white-rock-plumbing/</t>
        </is>
      </c>
      <c r="K59" s="9" t="inlineStr">
        <is>
          <t>/services/heating-cooling/furnace-repair/</t>
        </is>
      </c>
      <c r="L59" s="11" t="inlineStr"/>
    </row>
    <row r="60">
      <c r="A60" s="9" t="inlineStr">
        <is>
          <t>White Rock</t>
        </is>
      </c>
      <c r="B60" s="9" t="inlineStr">
        <is>
          <t>Furnaces</t>
        </is>
      </c>
      <c r="C60" s="9" t="inlineStr">
        <is>
          <t>furnace service white rock</t>
        </is>
      </c>
      <c r="D60" s="12" t="inlineStr">
        <is>
          <t>Keep</t>
        </is>
      </c>
      <c r="E60" s="11" t="inlineStr"/>
      <c r="F60" s="11" t="inlineStr">
        <is>
          <t>Semrush tracking (project 2824033)</t>
        </is>
      </c>
      <c r="G60" s="9" t="n">
        <v>10</v>
      </c>
      <c r="H60" s="9" t="n">
        <v>10</v>
      </c>
      <c r="I60" s="9" t="n">
        <v>37</v>
      </c>
      <c r="J60" s="9" t="inlineStr">
        <is>
          <t>/white-rock-plumbing/</t>
        </is>
      </c>
      <c r="K60" s="9" t="inlineStr">
        <is>
          <t>/services/heating-cooling/furnace-repair/</t>
        </is>
      </c>
      <c r="L60" s="11" t="inlineStr"/>
    </row>
    <row r="61">
      <c r="A61" s="9" t="inlineStr">
        <is>
          <t>White Rock</t>
        </is>
      </c>
      <c r="B61" s="9" t="inlineStr">
        <is>
          <t>Furnaces</t>
        </is>
      </c>
      <c r="C61" s="9" t="inlineStr">
        <is>
          <t>furnace maintenance white rock</t>
        </is>
      </c>
      <c r="D61" s="10" t="inlineStr">
        <is>
          <t>Add</t>
        </is>
      </c>
      <c r="E61" s="11" t="inlineStr">
        <is>
          <t>New service / gap term</t>
        </is>
      </c>
      <c r="F61" s="11" t="inlineStr">
        <is>
          <t>Gap list (keywords.md s.5): KW Research sheet 2024 / Client Overview 2026</t>
        </is>
      </c>
      <c r="G61" s="9" t="n">
        <v>0</v>
      </c>
      <c r="H61" s="9" t="n"/>
      <c r="I61" s="9" t="n"/>
      <c r="J61" s="9" t="n"/>
      <c r="K61" s="9" t="inlineStr">
        <is>
          <t>/services/heating-cooling/furnace-repair/</t>
        </is>
      </c>
      <c r="L61" s="11" t="inlineStr"/>
    </row>
    <row r="62">
      <c r="A62" s="9" t="inlineStr">
        <is>
          <t>White Rock</t>
        </is>
      </c>
      <c r="B62" s="9" t="inlineStr">
        <is>
          <t>Furnaces</t>
        </is>
      </c>
      <c r="C62" s="9" t="inlineStr">
        <is>
          <t>furnace replacement white rock</t>
        </is>
      </c>
      <c r="D62" s="10" t="inlineStr">
        <is>
          <t>Add</t>
        </is>
      </c>
      <c r="E62" s="11" t="inlineStr">
        <is>
          <t>New service / gap term</t>
        </is>
      </c>
      <c r="F62" s="11" t="inlineStr">
        <is>
          <t>Gap list (keywords.md s.5): KW Research sheet 2024 / Client Overview 2026</t>
        </is>
      </c>
      <c r="G62" s="9" t="n">
        <v>0</v>
      </c>
      <c r="H62" s="9" t="n"/>
      <c r="I62" s="9" t="n"/>
      <c r="J62" s="9" t="n"/>
      <c r="K62" s="9" t="inlineStr">
        <is>
          <t>/services/heating-cooling/furnace-installation/</t>
        </is>
      </c>
      <c r="L62" s="11" t="inlineStr"/>
    </row>
    <row r="63">
      <c r="A63" s="9" t="inlineStr">
        <is>
          <t>White Rock</t>
        </is>
      </c>
      <c r="B63" s="9" t="inlineStr">
        <is>
          <t>Furnaces</t>
        </is>
      </c>
      <c r="C63" s="9" t="inlineStr">
        <is>
          <t>furnace services white rock</t>
        </is>
      </c>
      <c r="D63" s="10" t="inlineStr">
        <is>
          <t>Add</t>
        </is>
      </c>
      <c r="E63" s="11" t="inlineStr">
        <is>
          <t>Mirrors the same keyword in all 3 markets</t>
        </is>
      </c>
      <c r="F63" s="11" t="inlineStr">
        <is>
          <t>Mirror of tracked Surrey + Langley keyword</t>
        </is>
      </c>
      <c r="G63" s="9" t="n"/>
      <c r="H63" s="9" t="n"/>
      <c r="I63" s="9" t="n"/>
      <c r="J63" s="9" t="n"/>
      <c r="K63" s="9" t="inlineStr">
        <is>
          <t>/services/heating-cooling/furnace-repair/</t>
        </is>
      </c>
      <c r="L63" s="11" t="inlineStr">
        <is>
          <t>Planner grouped this with a close variant.</t>
        </is>
      </c>
    </row>
    <row r="64">
      <c r="A64" s="9" t="inlineStr">
        <is>
          <t>White Rock</t>
        </is>
      </c>
      <c r="B64" s="9" t="inlineStr">
        <is>
          <t>Gas fitting</t>
        </is>
      </c>
      <c r="C64" s="9" t="inlineStr">
        <is>
          <t>gas fitter white rock</t>
        </is>
      </c>
      <c r="D64" s="12" t="inlineStr">
        <is>
          <t>Keep</t>
        </is>
      </c>
      <c r="E64" s="11" t="inlineStr"/>
      <c r="F64" s="11" t="inlineStr">
        <is>
          <t>Semrush tracking (project 2824033)</t>
        </is>
      </c>
      <c r="G64" s="9" t="n">
        <v>10</v>
      </c>
      <c r="H64" s="9" t="n">
        <v>10</v>
      </c>
      <c r="I64" s="9" t="n">
        <v>9</v>
      </c>
      <c r="J64" s="9" t="inlineStr">
        <is>
          <t>/white-rock-plumbing/</t>
        </is>
      </c>
      <c r="K64" s="9" t="inlineStr">
        <is>
          <t>/services/gas-fitting/</t>
        </is>
      </c>
      <c r="L64" s="11" t="inlineStr"/>
    </row>
    <row r="65">
      <c r="A65" s="9" t="inlineStr">
        <is>
          <t>White Rock</t>
        </is>
      </c>
      <c r="B65" s="9" t="inlineStr">
        <is>
          <t>Gas fitting</t>
        </is>
      </c>
      <c r="C65" s="9" t="inlineStr">
        <is>
          <t>gas line installation white rock</t>
        </is>
      </c>
      <c r="D65" s="12" t="inlineStr">
        <is>
          <t>Keep</t>
        </is>
      </c>
      <c r="E65" s="11" t="inlineStr"/>
      <c r="F65" s="11" t="inlineStr">
        <is>
          <t>Semrush tracking (project 2824033)</t>
        </is>
      </c>
      <c r="G65" s="9" t="n">
        <v>10</v>
      </c>
      <c r="H65" s="9" t="n">
        <v>10</v>
      </c>
      <c r="I65" s="9" t="n">
        <v>11</v>
      </c>
      <c r="J65" s="9" t="inlineStr">
        <is>
          <t>/services/gas-fitting/</t>
        </is>
      </c>
      <c r="K65" s="9" t="inlineStr">
        <is>
          <t>/services/gas-fitting/</t>
        </is>
      </c>
      <c r="L65" s="11" t="inlineStr"/>
    </row>
    <row r="66">
      <c r="A66" s="9" t="inlineStr">
        <is>
          <t>White Rock</t>
        </is>
      </c>
      <c r="B66" s="9" t="inlineStr">
        <is>
          <t>Heat pumps</t>
        </is>
      </c>
      <c r="C66" s="9" t="inlineStr">
        <is>
          <t>heat pump installation white rock</t>
        </is>
      </c>
      <c r="D66" s="12" t="inlineStr">
        <is>
          <t>Keep</t>
        </is>
      </c>
      <c r="E66" s="11" t="inlineStr"/>
      <c r="F66" s="11" t="inlineStr">
        <is>
          <t>Semrush tracking (project 2824033)</t>
        </is>
      </c>
      <c r="G66" s="9" t="n">
        <v>10</v>
      </c>
      <c r="H66" s="9" t="n">
        <v>10</v>
      </c>
      <c r="I66" s="9" t="n">
        <v>8</v>
      </c>
      <c r="J66" s="9" t="inlineStr">
        <is>
          <t>/services/heating-cooling/heat-pumps/</t>
        </is>
      </c>
      <c r="K66" s="9" t="inlineStr">
        <is>
          <t>/services/heating-cooling/heat-pumps/</t>
        </is>
      </c>
      <c r="L66" s="11" t="inlineStr"/>
    </row>
    <row r="67">
      <c r="A67" s="9" t="inlineStr">
        <is>
          <t>White Rock</t>
        </is>
      </c>
      <c r="B67" s="9" t="inlineStr">
        <is>
          <t>Heat pumps</t>
        </is>
      </c>
      <c r="C67" s="9" t="inlineStr">
        <is>
          <t>heat pump repair white rock</t>
        </is>
      </c>
      <c r="D67" s="10" t="inlineStr">
        <is>
          <t>Add</t>
        </is>
      </c>
      <c r="E67" s="11" t="inlineStr">
        <is>
          <t>New service / gap term</t>
        </is>
      </c>
      <c r="F67" s="11" t="inlineStr">
        <is>
          <t>Gap list (keywords.md s.5): client service change 2026-08-20</t>
        </is>
      </c>
      <c r="G67" s="9" t="n">
        <v>0</v>
      </c>
      <c r="H67" s="9" t="n"/>
      <c r="I67" s="9" t="n"/>
      <c r="J67" s="9" t="n"/>
      <c r="K67" s="9" t="inlineStr">
        <is>
          <t>/services/heating-cooling/heat-pumps/</t>
        </is>
      </c>
      <c r="L67" s="11" t="inlineStr">
        <is>
          <t>AC / heat pump repair offered since 2026-08-20; live AC and heat pump pages still say "installs only" (fix before pushing these).</t>
        </is>
      </c>
    </row>
    <row r="68">
      <c r="A68" s="9" t="inlineStr">
        <is>
          <t>White Rock</t>
        </is>
      </c>
      <c r="B68" s="9" t="inlineStr">
        <is>
          <t>Heating &amp; cooling (general)</t>
        </is>
      </c>
      <c r="C68" s="9" t="inlineStr">
        <is>
          <t>heating installation white rock</t>
        </is>
      </c>
      <c r="D68" s="12" t="inlineStr">
        <is>
          <t>Keep</t>
        </is>
      </c>
      <c r="E68" s="11" t="inlineStr"/>
      <c r="F68" s="11" t="inlineStr">
        <is>
          <t>Semrush tracking (project 2824033)</t>
        </is>
      </c>
      <c r="G68" s="9" t="n">
        <v>10</v>
      </c>
      <c r="H68" s="9" t="n">
        <v>10</v>
      </c>
      <c r="I68" s="9" t="n">
        <v>24</v>
      </c>
      <c r="J68" s="9" t="inlineStr">
        <is>
          <t>/white-rock-plumbing/</t>
        </is>
      </c>
      <c r="K68" s="9" t="inlineStr">
        <is>
          <t>/white-rock-plumbing/</t>
        </is>
      </c>
      <c r="L68" s="11" t="inlineStr"/>
    </row>
    <row r="69">
      <c r="A69" s="9" t="inlineStr">
        <is>
          <t>White Rock</t>
        </is>
      </c>
      <c r="B69" s="9" t="inlineStr">
        <is>
          <t>Heating &amp; cooling (general)</t>
        </is>
      </c>
      <c r="C69" s="9" t="inlineStr">
        <is>
          <t>heating service white rock</t>
        </is>
      </c>
      <c r="D69" s="12" t="inlineStr">
        <is>
          <t>Keep</t>
        </is>
      </c>
      <c r="E69" s="11" t="inlineStr"/>
      <c r="F69" s="11" t="inlineStr">
        <is>
          <t>Semrush tracking (project 2824033)</t>
        </is>
      </c>
      <c r="G69" s="9" t="n">
        <v>10</v>
      </c>
      <c r="H69" s="9" t="n">
        <v>10</v>
      </c>
      <c r="I69" s="9" t="n">
        <v>25</v>
      </c>
      <c r="J69" s="9" t="inlineStr">
        <is>
          <t>/white-rock-plumbing/</t>
        </is>
      </c>
      <c r="K69" s="9" t="inlineStr">
        <is>
          <t>/white-rock-plumbing/</t>
        </is>
      </c>
      <c r="L69" s="11" t="inlineStr"/>
    </row>
    <row r="70">
      <c r="A70" s="9" t="inlineStr">
        <is>
          <t>White Rock</t>
        </is>
      </c>
      <c r="B70" s="9" t="inlineStr">
        <is>
          <t>Heating &amp; cooling (general)</t>
        </is>
      </c>
      <c r="C70" s="9" t="inlineStr">
        <is>
          <t>hvac white rock</t>
        </is>
      </c>
      <c r="D70" s="10" t="inlineStr">
        <is>
          <t>Add</t>
        </is>
      </c>
      <c r="E70" s="11" t="inlineStr">
        <is>
          <t>New service / gap term</t>
        </is>
      </c>
      <c r="F70" s="11" t="inlineStr">
        <is>
          <t>Gap list (keywords.md s.5): KW Research sheet 2024 / Client Overview 2026</t>
        </is>
      </c>
      <c r="G70" s="9" t="n">
        <v>10</v>
      </c>
      <c r="H70" s="9" t="n"/>
      <c r="I70" s="9" t="n"/>
      <c r="J70" s="9" t="n"/>
      <c r="K70" s="9" t="inlineStr">
        <is>
          <t>/white-rock-plumbing/</t>
        </is>
      </c>
      <c r="L70" s="11" t="inlineStr">
        <is>
          <t>Residential only; no commercial HVAC.</t>
        </is>
      </c>
    </row>
    <row r="71">
      <c r="A71" s="9" t="inlineStr">
        <is>
          <t>White Rock</t>
        </is>
      </c>
      <c r="B71" s="9" t="inlineStr">
        <is>
          <t>Heating &amp; cooling (general)</t>
        </is>
      </c>
      <c r="C71" s="9" t="inlineStr">
        <is>
          <t>plumbing and heating white rock</t>
        </is>
      </c>
      <c r="D71" s="12" t="inlineStr">
        <is>
          <t>Keep</t>
        </is>
      </c>
      <c r="E71" s="11" t="inlineStr"/>
      <c r="F71" s="11" t="inlineStr">
        <is>
          <t>Semrush tracking (project 2824033)</t>
        </is>
      </c>
      <c r="G71" s="9" t="n">
        <v>10</v>
      </c>
      <c r="H71" s="9" t="n">
        <v>20</v>
      </c>
      <c r="I71" s="9" t="n">
        <v>3</v>
      </c>
      <c r="J71" s="9" t="inlineStr">
        <is>
          <t>/</t>
        </is>
      </c>
      <c r="K71" s="9" t="inlineStr">
        <is>
          <t>/white-rock-plumbing/</t>
        </is>
      </c>
      <c r="L71" s="11" t="inlineStr"/>
    </row>
    <row r="72">
      <c r="A72" s="9" t="inlineStr">
        <is>
          <t>White Rock</t>
        </is>
      </c>
      <c r="B72" s="9" t="inlineStr">
        <is>
          <t>Hot water tanks</t>
        </is>
      </c>
      <c r="C72" s="9" t="inlineStr">
        <is>
          <t>hot water tank repair white rock</t>
        </is>
      </c>
      <c r="D72" s="12" t="inlineStr">
        <is>
          <t>Keep</t>
        </is>
      </c>
      <c r="E72" s="11" t="inlineStr"/>
      <c r="F72" s="11" t="inlineStr">
        <is>
          <t>Semrush tracking (project 2824033)</t>
        </is>
      </c>
      <c r="G72" s="9" t="n">
        <v>10</v>
      </c>
      <c r="H72" s="9" t="n">
        <v>10</v>
      </c>
      <c r="I72" s="9" t="n">
        <v>20</v>
      </c>
      <c r="J72" s="9" t="inlineStr">
        <is>
          <t>/white-rock-plumbing/</t>
        </is>
      </c>
      <c r="K72" s="9" t="inlineStr">
        <is>
          <t>/services/plumbing/hot-water-tanks/</t>
        </is>
      </c>
      <c r="L72" s="11" t="inlineStr"/>
    </row>
    <row r="73">
      <c r="A73" s="9" t="inlineStr">
        <is>
          <t>White Rock</t>
        </is>
      </c>
      <c r="B73" s="9" t="inlineStr">
        <is>
          <t>Hot water tanks</t>
        </is>
      </c>
      <c r="C73" s="9" t="inlineStr">
        <is>
          <t>hot water tank replacement white rock</t>
        </is>
      </c>
      <c r="D73" s="12" t="inlineStr">
        <is>
          <t>Keep</t>
        </is>
      </c>
      <c r="E73" s="11" t="inlineStr"/>
      <c r="F73" s="11" t="inlineStr">
        <is>
          <t>Semrush tracking (project 2824033)</t>
        </is>
      </c>
      <c r="G73" s="9" t="n">
        <v>10</v>
      </c>
      <c r="H73" s="9" t="n">
        <v>10</v>
      </c>
      <c r="I73" s="9" t="n">
        <v>9</v>
      </c>
      <c r="J73" s="9" t="inlineStr">
        <is>
          <t>/services/plumbing/hot-water-tanks/</t>
        </is>
      </c>
      <c r="K73" s="9" t="inlineStr">
        <is>
          <t>/services/plumbing/hot-water-tanks/</t>
        </is>
      </c>
      <c r="L73" s="11" t="inlineStr"/>
    </row>
    <row r="74">
      <c r="A74" s="9" t="inlineStr">
        <is>
          <t>White Rock</t>
        </is>
      </c>
      <c r="B74" s="9" t="inlineStr">
        <is>
          <t>Hot water tanks</t>
        </is>
      </c>
      <c r="C74" s="9" t="inlineStr">
        <is>
          <t>hot water tank services white rock</t>
        </is>
      </c>
      <c r="D74" s="12" t="inlineStr">
        <is>
          <t>Keep</t>
        </is>
      </c>
      <c r="E74" s="11" t="inlineStr"/>
      <c r="F74" s="11" t="inlineStr">
        <is>
          <t>Semrush tracking (project 2824033)</t>
        </is>
      </c>
      <c r="G74" s="9" t="n">
        <v>10</v>
      </c>
      <c r="H74" s="9" t="n">
        <v>10</v>
      </c>
      <c r="I74" s="9" t="n">
        <v>29</v>
      </c>
      <c r="J74" s="9" t="inlineStr">
        <is>
          <t>/white-rock-plumbing/</t>
        </is>
      </c>
      <c r="K74" s="9" t="inlineStr">
        <is>
          <t>/services/plumbing/hot-water-tanks/</t>
        </is>
      </c>
      <c r="L74" s="11" t="inlineStr"/>
    </row>
    <row r="75">
      <c r="A75" s="9" t="inlineStr">
        <is>
          <t>White Rock</t>
        </is>
      </c>
      <c r="B75" s="9" t="inlineStr">
        <is>
          <t>Hot water tanks</t>
        </is>
      </c>
      <c r="C75" s="9" t="inlineStr">
        <is>
          <t>hot water tank installation white rock</t>
        </is>
      </c>
      <c r="D75" s="10" t="inlineStr">
        <is>
          <t>Add</t>
        </is>
      </c>
      <c r="E75" s="11" t="inlineStr">
        <is>
          <t>Mirrors the same keyword in all 3 markets</t>
        </is>
      </c>
      <c r="F75" s="11" t="inlineStr">
        <is>
          <t>Mirror of tracked Surrey + Langley keyword</t>
        </is>
      </c>
      <c r="G75" s="9" t="n">
        <v>0</v>
      </c>
      <c r="H75" s="9" t="n"/>
      <c r="I75" s="9" t="n"/>
      <c r="J75" s="9" t="n"/>
      <c r="K75" s="9" t="inlineStr">
        <is>
          <t>/services/plumbing/hot-water-tanks/</t>
        </is>
      </c>
      <c r="L75" s="11" t="inlineStr"/>
    </row>
    <row r="76">
      <c r="A76" s="9" t="inlineStr">
        <is>
          <t>White Rock</t>
        </is>
      </c>
      <c r="B76" s="9" t="inlineStr">
        <is>
          <t>Hot water tanks</t>
        </is>
      </c>
      <c r="C76" s="9" t="inlineStr">
        <is>
          <t>water heater repair white rock</t>
        </is>
      </c>
      <c r="D76" s="10" t="inlineStr">
        <is>
          <t>Add</t>
        </is>
      </c>
      <c r="E76" s="11" t="inlineStr">
        <is>
          <t>New service / gap term</t>
        </is>
      </c>
      <c r="F76" s="11" t="inlineStr">
        <is>
          <t>Gap list (keywords.md s.5): KW Research sheet 2024 / Client Overview 2026</t>
        </is>
      </c>
      <c r="G76" s="9" t="n">
        <v>0</v>
      </c>
      <c r="H76" s="9" t="n"/>
      <c r="I76" s="9" t="n"/>
      <c r="J76" s="9" t="n"/>
      <c r="K76" s="9" t="inlineStr">
        <is>
          <t>/services/plumbing/hot-water-tanks/</t>
        </is>
      </c>
      <c r="L76" s="11" t="inlineStr"/>
    </row>
    <row r="77">
      <c r="A77" s="9" t="inlineStr">
        <is>
          <t>White Rock</t>
        </is>
      </c>
      <c r="B77" s="9" t="inlineStr">
        <is>
          <t>Plumbing (general)</t>
        </is>
      </c>
      <c r="C77" s="9" t="inlineStr">
        <is>
          <t>plumber in white rock</t>
        </is>
      </c>
      <c r="D77" s="12" t="inlineStr">
        <is>
          <t>Keep</t>
        </is>
      </c>
      <c r="E77" s="11" t="inlineStr"/>
      <c r="F77" s="11" t="inlineStr">
        <is>
          <t>Semrush tracking (project 2824033)</t>
        </is>
      </c>
      <c r="G77" s="9" t="n"/>
      <c r="H77" s="9" t="n">
        <v>390</v>
      </c>
      <c r="I77" s="9" t="n">
        <v>9</v>
      </c>
      <c r="J77" s="9" t="inlineStr">
        <is>
          <t>/white-rock-plumbing/</t>
        </is>
      </c>
      <c r="K77" s="9" t="inlineStr">
        <is>
          <t>/white-rock-plumbing/</t>
        </is>
      </c>
      <c r="L77" s="11" t="inlineStr"/>
    </row>
    <row r="78">
      <c r="A78" s="9" t="inlineStr">
        <is>
          <t>White Rock</t>
        </is>
      </c>
      <c r="B78" s="9" t="inlineStr">
        <is>
          <t>Plumbing (general)</t>
        </is>
      </c>
      <c r="C78" s="9" t="inlineStr">
        <is>
          <t>plumbers white rock</t>
        </is>
      </c>
      <c r="D78" s="12" t="inlineStr">
        <is>
          <t>Keep</t>
        </is>
      </c>
      <c r="E78" s="11" t="inlineStr"/>
      <c r="F78" s="11" t="inlineStr">
        <is>
          <t>Semrush tracking (project 2824033)</t>
        </is>
      </c>
      <c r="G78" s="9" t="n"/>
      <c r="H78" s="9" t="n">
        <v>390</v>
      </c>
      <c r="I78" s="9" t="n">
        <v>9</v>
      </c>
      <c r="J78" s="9" t="inlineStr">
        <is>
          <t>/white-rock-plumbing/</t>
        </is>
      </c>
      <c r="K78" s="9" t="inlineStr">
        <is>
          <t>/white-rock-plumbing/</t>
        </is>
      </c>
      <c r="L78" s="11" t="inlineStr"/>
    </row>
    <row r="79">
      <c r="A79" s="9" t="inlineStr">
        <is>
          <t>White Rock</t>
        </is>
      </c>
      <c r="B79" s="9" t="inlineStr">
        <is>
          <t>Plumbing (general)</t>
        </is>
      </c>
      <c r="C79" s="9" t="inlineStr">
        <is>
          <t>white rock plumbing</t>
        </is>
      </c>
      <c r="D79" s="12" t="inlineStr">
        <is>
          <t>Keep</t>
        </is>
      </c>
      <c r="E79" s="11" t="inlineStr"/>
      <c r="F79" s="11" t="inlineStr">
        <is>
          <t>Semrush tracking (project 2824033)</t>
        </is>
      </c>
      <c r="G79" s="9" t="n"/>
      <c r="H79" s="9" t="n">
        <v>390</v>
      </c>
      <c r="I79" s="9" t="n">
        <v>6</v>
      </c>
      <c r="J79" s="9" t="inlineStr">
        <is>
          <t>/white-rock-plumbing/</t>
        </is>
      </c>
      <c r="K79" s="9" t="inlineStr">
        <is>
          <t>/white-rock-plumbing/</t>
        </is>
      </c>
      <c r="L79" s="11" t="inlineStr"/>
    </row>
    <row r="80">
      <c r="A80" s="9" t="inlineStr">
        <is>
          <t>White Rock</t>
        </is>
      </c>
      <c r="B80" s="9" t="inlineStr">
        <is>
          <t>Plumbing (general)</t>
        </is>
      </c>
      <c r="C80" s="9" t="inlineStr">
        <is>
          <t>plumber white rock</t>
        </is>
      </c>
      <c r="D80" s="12" t="inlineStr">
        <is>
          <t>Keep</t>
        </is>
      </c>
      <c r="E80" s="11" t="inlineStr"/>
      <c r="F80" s="11" t="inlineStr">
        <is>
          <t>Semrush tracking (project 2824033)</t>
        </is>
      </c>
      <c r="G80" s="9" t="n">
        <v>210</v>
      </c>
      <c r="H80" s="9" t="n">
        <v>390</v>
      </c>
      <c r="I80" s="9" t="n">
        <v>6</v>
      </c>
      <c r="J80" s="9" t="inlineStr">
        <is>
          <t>/white-rock-plumbing/</t>
        </is>
      </c>
      <c r="K80" s="9" t="inlineStr">
        <is>
          <t>/white-rock-plumbing/</t>
        </is>
      </c>
      <c r="L80" s="11" t="inlineStr"/>
    </row>
    <row r="81">
      <c r="A81" s="9" t="inlineStr">
        <is>
          <t>White Rock</t>
        </is>
      </c>
      <c r="B81" s="9" t="inlineStr">
        <is>
          <t>Plumbing (general)</t>
        </is>
      </c>
      <c r="C81" s="9" t="inlineStr">
        <is>
          <t>plumbers in white rock bc</t>
        </is>
      </c>
      <c r="D81" s="12" t="inlineStr">
        <is>
          <t>Keep</t>
        </is>
      </c>
      <c r="E81" s="11" t="inlineStr"/>
      <c r="F81" s="11" t="inlineStr">
        <is>
          <t>Semrush tracking (project 2824033)</t>
        </is>
      </c>
      <c r="G81" s="9" t="n"/>
      <c r="H81" s="9" t="n">
        <v>20</v>
      </c>
      <c r="I81" s="9" t="n">
        <v>25</v>
      </c>
      <c r="J81" s="9" t="inlineStr">
        <is>
          <t>/white-rock-plumbing/</t>
        </is>
      </c>
      <c r="K81" s="9" t="inlineStr">
        <is>
          <t>/white-rock-plumbing/</t>
        </is>
      </c>
      <c r="L81" s="11" t="inlineStr"/>
    </row>
    <row r="82">
      <c r="A82" s="9" t="inlineStr">
        <is>
          <t>White Rock</t>
        </is>
      </c>
      <c r="B82" s="9" t="inlineStr">
        <is>
          <t>Plumbing (general)</t>
        </is>
      </c>
      <c r="C82" s="9" t="inlineStr">
        <is>
          <t>plumbers white rock bc</t>
        </is>
      </c>
      <c r="D82" s="12" t="inlineStr">
        <is>
          <t>Keep</t>
        </is>
      </c>
      <c r="E82" s="11" t="inlineStr"/>
      <c r="F82" s="11" t="inlineStr">
        <is>
          <t>Semrush tracking (project 2824033)</t>
        </is>
      </c>
      <c r="G82" s="9" t="n">
        <v>10</v>
      </c>
      <c r="H82" s="9" t="n">
        <v>20</v>
      </c>
      <c r="I82" s="9" t="n">
        <v>7</v>
      </c>
      <c r="J82" s="9" t="inlineStr">
        <is>
          <t>/white-rock-plumbing/</t>
        </is>
      </c>
      <c r="K82" s="9" t="inlineStr">
        <is>
          <t>/white-rock-plumbing/</t>
        </is>
      </c>
      <c r="L82" s="11" t="inlineStr"/>
    </row>
    <row r="83">
      <c r="A83" s="9" t="inlineStr">
        <is>
          <t>White Rock</t>
        </is>
      </c>
      <c r="B83" s="9" t="inlineStr">
        <is>
          <t>Plumbing (general)</t>
        </is>
      </c>
      <c r="C83" s="9" t="inlineStr">
        <is>
          <t>plumbing services white rock</t>
        </is>
      </c>
      <c r="D83" s="12" t="inlineStr">
        <is>
          <t>Keep</t>
        </is>
      </c>
      <c r="E83" s="11" t="inlineStr"/>
      <c r="F83" s="11" t="inlineStr">
        <is>
          <t>Semrush tracking (project 2824033)</t>
        </is>
      </c>
      <c r="G83" s="9" t="n">
        <v>10</v>
      </c>
      <c r="H83" s="9" t="n">
        <v>10</v>
      </c>
      <c r="I83" s="9" t="n">
        <v>6</v>
      </c>
      <c r="J83" s="9" t="inlineStr">
        <is>
          <t>/white-rock-plumbing/</t>
        </is>
      </c>
      <c r="K83" s="9" t="inlineStr">
        <is>
          <t>/white-rock-plumbing/</t>
        </is>
      </c>
      <c r="L83" s="11" t="inlineStr"/>
    </row>
    <row r="84">
      <c r="A84" s="9" t="inlineStr">
        <is>
          <t>White Rock</t>
        </is>
      </c>
      <c r="B84" s="9" t="inlineStr">
        <is>
          <t>Plumbing (general)</t>
        </is>
      </c>
      <c r="C84" s="9" t="inlineStr">
        <is>
          <t>best plumber white rock</t>
        </is>
      </c>
      <c r="D84" s="10" t="inlineStr">
        <is>
          <t>Add</t>
        </is>
      </c>
      <c r="E84" s="11" t="inlineStr">
        <is>
          <t>Mirrors the same keyword in all 3 markets</t>
        </is>
      </c>
      <c r="F84" s="11" t="inlineStr">
        <is>
          <t>Mirror of tracked Surrey + Langley keyword</t>
        </is>
      </c>
      <c r="G84" s="9" t="n">
        <v>0</v>
      </c>
      <c r="H84" s="9" t="n"/>
      <c r="I84" s="9" t="n"/>
      <c r="J84" s="9" t="n"/>
      <c r="K84" s="9" t="inlineStr">
        <is>
          <t>/white-rock-plumbing/</t>
        </is>
      </c>
      <c r="L84" s="11" t="inlineStr">
        <is>
          <t>Track only. No "best" or superlatives in copy (brand rule).</t>
        </is>
      </c>
    </row>
    <row r="85">
      <c r="A85" s="9" t="inlineStr">
        <is>
          <t>White Rock</t>
        </is>
      </c>
      <c r="B85" s="9" t="inlineStr">
        <is>
          <t>Plumbing (general)</t>
        </is>
      </c>
      <c r="C85" s="9" t="inlineStr">
        <is>
          <t>plumbing company white rock</t>
        </is>
      </c>
      <c r="D85" s="10" t="inlineStr">
        <is>
          <t>Add</t>
        </is>
      </c>
      <c r="E85" s="11" t="inlineStr">
        <is>
          <t>Mirrors the same keyword in all 3 markets</t>
        </is>
      </c>
      <c r="F85" s="11" t="inlineStr">
        <is>
          <t>Mirror of tracked Surrey + Langley keyword</t>
        </is>
      </c>
      <c r="G85" s="9" t="n">
        <v>0</v>
      </c>
      <c r="H85" s="9" t="n"/>
      <c r="I85" s="9" t="n"/>
      <c r="J85" s="9" t="n"/>
      <c r="K85" s="9" t="inlineStr">
        <is>
          <t>/white-rock-plumbing/</t>
        </is>
      </c>
      <c r="L85" s="11" t="inlineStr"/>
    </row>
    <row r="86">
      <c r="A86" s="9" t="inlineStr">
        <is>
          <t>White Rock</t>
        </is>
      </c>
      <c r="B86" s="9" t="inlineStr">
        <is>
          <t>Radiant / in-floor</t>
        </is>
      </c>
      <c r="C86" s="9" t="inlineStr">
        <is>
          <t>in floor heating white rock</t>
        </is>
      </c>
      <c r="D86" s="12" t="inlineStr">
        <is>
          <t>Keep</t>
        </is>
      </c>
      <c r="E86" s="11" t="inlineStr"/>
      <c r="F86" s="11" t="inlineStr">
        <is>
          <t>Semrush tracking (project 2824033)</t>
        </is>
      </c>
      <c r="G86" s="9" t="n">
        <v>10</v>
      </c>
      <c r="H86" s="9" t="n">
        <v>10</v>
      </c>
      <c r="I86" s="9" t="n">
        <v>4</v>
      </c>
      <c r="J86" s="9" t="inlineStr">
        <is>
          <t>/services/plumbing/radiant-in-floor-heating/</t>
        </is>
      </c>
      <c r="K86" s="9" t="inlineStr">
        <is>
          <t>/services/plumbing/radiant-in-floor-heating/</t>
        </is>
      </c>
      <c r="L86" s="11" t="inlineStr"/>
    </row>
    <row r="87">
      <c r="A87" s="9" t="inlineStr">
        <is>
          <t>White Rock</t>
        </is>
      </c>
      <c r="B87" s="9" t="inlineStr">
        <is>
          <t>Radiant / in-floor</t>
        </is>
      </c>
      <c r="C87" s="9" t="inlineStr">
        <is>
          <t>radiant heating white rock</t>
        </is>
      </c>
      <c r="D87" s="12" t="inlineStr">
        <is>
          <t>Keep</t>
        </is>
      </c>
      <c r="E87" s="11" t="inlineStr"/>
      <c r="F87" s="11" t="inlineStr">
        <is>
          <t>Semrush tracking (project 2824033)</t>
        </is>
      </c>
      <c r="G87" s="9" t="n">
        <v>10</v>
      </c>
      <c r="H87" s="9" t="n">
        <v>10</v>
      </c>
      <c r="I87" s="9" t="n">
        <v>1</v>
      </c>
      <c r="J87" s="9" t="inlineStr">
        <is>
          <t>/services/plumbing/radiant-in-floor-heating/</t>
        </is>
      </c>
      <c r="K87" s="9" t="inlineStr">
        <is>
          <t>/services/plumbing/radiant-in-floor-heating/</t>
        </is>
      </c>
      <c r="L87" s="11" t="inlineStr"/>
    </row>
    <row r="88">
      <c r="A88" s="9" t="inlineStr">
        <is>
          <t>White Rock</t>
        </is>
      </c>
      <c r="B88" s="9" t="inlineStr">
        <is>
          <t>Tankless</t>
        </is>
      </c>
      <c r="C88" s="9" t="inlineStr">
        <is>
          <t>tankless water heater services white rock</t>
        </is>
      </c>
      <c r="D88" s="12" t="inlineStr">
        <is>
          <t>Keep</t>
        </is>
      </c>
      <c r="E88" s="11" t="inlineStr"/>
      <c r="F88" s="11" t="inlineStr">
        <is>
          <t>Semrush tracking (project 2824033)</t>
        </is>
      </c>
      <c r="G88" s="9" t="n">
        <v>10</v>
      </c>
      <c r="H88" s="9" t="n">
        <v>10</v>
      </c>
      <c r="I88" s="9" t="n">
        <v>12</v>
      </c>
      <c r="J88" s="9" t="inlineStr">
        <is>
          <t>/white-rock-plumbing/</t>
        </is>
      </c>
      <c r="K88" s="9" t="inlineStr">
        <is>
          <t>/services/plumbing/tankless-water-heaters/</t>
        </is>
      </c>
      <c r="L88" s="11" t="inlineStr"/>
    </row>
    <row r="89">
      <c r="A89" s="9" t="inlineStr">
        <is>
          <t>White Rock</t>
        </is>
      </c>
      <c r="B89" s="9" t="inlineStr">
        <is>
          <t>Tankless</t>
        </is>
      </c>
      <c r="C89" s="9" t="inlineStr">
        <is>
          <t>tankless water heater installation white rock</t>
        </is>
      </c>
      <c r="D89" s="10" t="inlineStr">
        <is>
          <t>Add</t>
        </is>
      </c>
      <c r="E89" s="11" t="inlineStr">
        <is>
          <t>Mirrors the same keyword in all 3 markets</t>
        </is>
      </c>
      <c r="F89" s="11" t="inlineStr">
        <is>
          <t>Mirror of tracked Surrey + Langley keyword</t>
        </is>
      </c>
      <c r="G89" s="9" t="n">
        <v>0</v>
      </c>
      <c r="H89" s="9" t="n"/>
      <c r="I89" s="9" t="n"/>
      <c r="J89" s="9" t="n"/>
      <c r="K89" s="9" t="inlineStr">
        <is>
          <t>/services/plumbing/tankless-water-heaters/</t>
        </is>
      </c>
      <c r="L89" s="11" t="inlineStr"/>
    </row>
    <row r="90">
      <c r="A90" s="9" t="inlineStr">
        <is>
          <t>White Rock</t>
        </is>
      </c>
      <c r="B90" s="9" t="inlineStr">
        <is>
          <t>Tankless</t>
        </is>
      </c>
      <c r="C90" s="9" t="inlineStr">
        <is>
          <t>tankless water heater repair white rock</t>
        </is>
      </c>
      <c r="D90" s="10" t="inlineStr">
        <is>
          <t>Add</t>
        </is>
      </c>
      <c r="E90" s="11" t="inlineStr">
        <is>
          <t>Mirrors the same keyword in all 3 markets</t>
        </is>
      </c>
      <c r="F90" s="11" t="inlineStr">
        <is>
          <t>Mirror of tracked Surrey + Langley keyword</t>
        </is>
      </c>
      <c r="G90" s="9" t="n">
        <v>0</v>
      </c>
      <c r="H90" s="9" t="n"/>
      <c r="I90" s="9" t="n"/>
      <c r="J90" s="9" t="n"/>
      <c r="K90" s="9" t="inlineStr">
        <is>
          <t>/services/plumbing/tankless-water-heaters/</t>
        </is>
      </c>
      <c r="L90" s="11" t="inlineStr">
        <is>
          <t>Kept despite low volume (20/mo combined): core Navien/tankless repair service.</t>
        </is>
      </c>
    </row>
    <row r="91">
      <c r="A91" s="9" t="inlineStr">
        <is>
          <t>Langley</t>
        </is>
      </c>
      <c r="B91" s="9" t="inlineStr">
        <is>
          <t>Air conditioning</t>
        </is>
      </c>
      <c r="C91" s="9" t="inlineStr">
        <is>
          <t>ac repair langley</t>
        </is>
      </c>
      <c r="D91" s="10" t="inlineStr">
        <is>
          <t>Add</t>
        </is>
      </c>
      <c r="E91" s="11" t="inlineStr">
        <is>
          <t>New service / gap term</t>
        </is>
      </c>
      <c r="F91" s="11" t="inlineStr">
        <is>
          <t>Gap list (keywords.md s.5): client service change 2026-08-20</t>
        </is>
      </c>
      <c r="G91" s="9" t="n">
        <v>40</v>
      </c>
      <c r="H91" s="9" t="n"/>
      <c r="I91" s="9" t="n"/>
      <c r="J91" s="9" t="n"/>
      <c r="K91" s="9" t="inlineStr">
        <is>
          <t>/services/heating-cooling/air-conditioning/</t>
        </is>
      </c>
      <c r="L91" s="11" t="inlineStr">
        <is>
          <t>AC / heat pump repair offered since 2026-08-20; live AC and heat pump pages still say "installs only" (fix before pushing these).</t>
        </is>
      </c>
    </row>
    <row r="92">
      <c r="A92" s="9" t="inlineStr">
        <is>
          <t>Langley</t>
        </is>
      </c>
      <c r="B92" s="9" t="inlineStr">
        <is>
          <t>Air conditioning</t>
        </is>
      </c>
      <c r="C92" s="9" t="inlineStr">
        <is>
          <t>air conditioning repair langley</t>
        </is>
      </c>
      <c r="D92" s="12" t="inlineStr">
        <is>
          <t>Keep</t>
        </is>
      </c>
      <c r="E92" s="11" t="inlineStr"/>
      <c r="F92" s="11" t="inlineStr">
        <is>
          <t>Semrush tracking (project 2824033)</t>
        </is>
      </c>
      <c r="G92" s="9" t="n">
        <v>40</v>
      </c>
      <c r="H92" s="9" t="n">
        <v>20</v>
      </c>
      <c r="I92" s="9" t="n"/>
      <c r="J92" s="9" t="n"/>
      <c r="K92" s="9" t="inlineStr">
        <is>
          <t>/services/heating-cooling/air-conditioning/</t>
        </is>
      </c>
      <c r="L92" s="11" t="inlineStr">
        <is>
          <t>AC / heat pump repair offered since 2026-08-20; live AC and heat pump pages still say "installs only" (fix before pushing these).</t>
        </is>
      </c>
    </row>
    <row r="93">
      <c r="A93" s="9" t="inlineStr">
        <is>
          <t>Langley</t>
        </is>
      </c>
      <c r="B93" s="9" t="inlineStr">
        <is>
          <t>Air conditioning</t>
        </is>
      </c>
      <c r="C93" s="9" t="inlineStr">
        <is>
          <t>air conditioner langley</t>
        </is>
      </c>
      <c r="D93" s="12" t="inlineStr">
        <is>
          <t>Keep</t>
        </is>
      </c>
      <c r="E93" s="11" t="inlineStr"/>
      <c r="F93" s="11" t="inlineStr">
        <is>
          <t>Semrush tracking (project 2824033)</t>
        </is>
      </c>
      <c r="G93" s="9" t="n">
        <v>30</v>
      </c>
      <c r="H93" s="9" t="n">
        <v>90</v>
      </c>
      <c r="I93" s="9" t="n"/>
      <c r="J93" s="9" t="n"/>
      <c r="K93" s="9" t="inlineStr">
        <is>
          <t>/services/heating-cooling/air-conditioning/</t>
        </is>
      </c>
      <c r="L93" s="11" t="inlineStr"/>
    </row>
    <row r="94">
      <c r="A94" s="9" t="inlineStr">
        <is>
          <t>Langley</t>
        </is>
      </c>
      <c r="B94" s="9" t="inlineStr">
        <is>
          <t>Air conditioning</t>
        </is>
      </c>
      <c r="C94" s="9" t="inlineStr">
        <is>
          <t>hvac repair langley</t>
        </is>
      </c>
      <c r="D94" s="10" t="inlineStr">
        <is>
          <t>Add</t>
        </is>
      </c>
      <c r="E94" s="11" t="inlineStr">
        <is>
          <t>New service / gap term</t>
        </is>
      </c>
      <c r="F94" s="11" t="inlineStr">
        <is>
          <t>Gap list (keywords.md s.5): client service change 2026-08-20</t>
        </is>
      </c>
      <c r="G94" s="9" t="n">
        <v>10</v>
      </c>
      <c r="H94" s="9" t="n"/>
      <c r="I94" s="9" t="n"/>
      <c r="J94" s="9" t="n"/>
      <c r="K94" s="9" t="inlineStr">
        <is>
          <t>/services/heating-cooling/air-conditioning/</t>
        </is>
      </c>
      <c r="L94" s="11" t="inlineStr">
        <is>
          <t>AC / heat pump repair offered since 2026-08-20; live AC and heat pump pages still say "installs only" (fix before pushing these). Residential only; no commercial HVAC.</t>
        </is>
      </c>
    </row>
    <row r="95">
      <c r="A95" s="9" t="inlineStr">
        <is>
          <t>Langley</t>
        </is>
      </c>
      <c r="B95" s="9" t="inlineStr">
        <is>
          <t>Air conditioning</t>
        </is>
      </c>
      <c r="C95" s="9" t="inlineStr">
        <is>
          <t>langley air conditioning</t>
        </is>
      </c>
      <c r="D95" s="10" t="inlineStr">
        <is>
          <t>Add</t>
        </is>
      </c>
      <c r="E95" s="11" t="inlineStr">
        <is>
          <t>Mirrors the same keyword in all 3 markets</t>
        </is>
      </c>
      <c r="F95" s="11" t="inlineStr">
        <is>
          <t>Mirror of tracked Surrey keyword</t>
        </is>
      </c>
      <c r="G95" s="9" t="n"/>
      <c r="H95" s="9" t="n"/>
      <c r="I95" s="9" t="n"/>
      <c r="J95" s="9" t="n"/>
      <c r="K95" s="9" t="inlineStr">
        <is>
          <t>/services/heating-cooling/air-conditioning/</t>
        </is>
      </c>
      <c r="L95" s="11" t="inlineStr">
        <is>
          <t>Planner grouped this with a close variant.</t>
        </is>
      </c>
    </row>
    <row r="96">
      <c r="A96" s="9" t="inlineStr">
        <is>
          <t>Langley</t>
        </is>
      </c>
      <c r="B96" s="9" t="inlineStr">
        <is>
          <t>Boilers</t>
        </is>
      </c>
      <c r="C96" s="9" t="inlineStr">
        <is>
          <t>boiler installation langley</t>
        </is>
      </c>
      <c r="D96" s="12" t="inlineStr">
        <is>
          <t>Keep</t>
        </is>
      </c>
      <c r="E96" s="11" t="inlineStr"/>
      <c r="F96" s="11" t="inlineStr">
        <is>
          <t>Semrush tracking (project 2824033)</t>
        </is>
      </c>
      <c r="G96" s="9" t="n">
        <v>20</v>
      </c>
      <c r="H96" s="9" t="n">
        <v>10</v>
      </c>
      <c r="I96" s="9" t="n">
        <v>62</v>
      </c>
      <c r="J96" s="9" t="inlineStr">
        <is>
          <t>/langley-plumbing-and-heating/</t>
        </is>
      </c>
      <c r="K96" s="9" t="inlineStr">
        <is>
          <t>/boiler-replacement/</t>
        </is>
      </c>
      <c r="L96" s="11" t="inlineStr"/>
    </row>
    <row r="97">
      <c r="A97" s="9" t="inlineStr">
        <is>
          <t>Langley</t>
        </is>
      </c>
      <c r="B97" s="9" t="inlineStr">
        <is>
          <t>Boilers</t>
        </is>
      </c>
      <c r="C97" s="9" t="inlineStr">
        <is>
          <t>boiler repair langley</t>
        </is>
      </c>
      <c r="D97" s="12" t="inlineStr">
        <is>
          <t>Keep</t>
        </is>
      </c>
      <c r="E97" s="11" t="inlineStr"/>
      <c r="F97" s="11" t="inlineStr">
        <is>
          <t>Semrush tracking (project 2824033)</t>
        </is>
      </c>
      <c r="G97" s="9" t="n">
        <v>20</v>
      </c>
      <c r="H97" s="9" t="n">
        <v>10</v>
      </c>
      <c r="I97" s="9" t="n">
        <v>13</v>
      </c>
      <c r="J97" s="9" t="inlineStr">
        <is>
          <t>/services/heating-cooling/langley-boiler-repair/</t>
        </is>
      </c>
      <c r="K97" s="9" t="inlineStr">
        <is>
          <t>/services/heating-cooling/langley-boiler-repair/</t>
        </is>
      </c>
      <c r="L97" s="11" t="inlineStr"/>
    </row>
    <row r="98">
      <c r="A98" s="9" t="inlineStr">
        <is>
          <t>Langley</t>
        </is>
      </c>
      <c r="B98" s="9" t="inlineStr">
        <is>
          <t>Boilers</t>
        </is>
      </c>
      <c r="C98" s="9" t="inlineStr">
        <is>
          <t>boiler services langley</t>
        </is>
      </c>
      <c r="D98" s="12" t="inlineStr">
        <is>
          <t>Keep</t>
        </is>
      </c>
      <c r="E98" s="11" t="inlineStr"/>
      <c r="F98" s="11" t="inlineStr">
        <is>
          <t>Semrush tracking (project 2824033)</t>
        </is>
      </c>
      <c r="G98" s="9" t="n">
        <v>10</v>
      </c>
      <c r="H98" s="9" t="n">
        <v>10</v>
      </c>
      <c r="I98" s="9" t="n">
        <v>59</v>
      </c>
      <c r="J98" s="9" t="inlineStr">
        <is>
          <t>/langley-plumbing-and-heating/</t>
        </is>
      </c>
      <c r="K98" s="9" t="inlineStr">
        <is>
          <t>/services/heating-cooling/boiler-repair/</t>
        </is>
      </c>
      <c r="L98" s="11" t="inlineStr"/>
    </row>
    <row r="99">
      <c r="A99" s="9" t="inlineStr">
        <is>
          <t>Langley</t>
        </is>
      </c>
      <c r="B99" s="9" t="inlineStr">
        <is>
          <t>Furnaces</t>
        </is>
      </c>
      <c r="C99" s="9" t="inlineStr">
        <is>
          <t>furnace repair langley</t>
        </is>
      </c>
      <c r="D99" s="12" t="inlineStr">
        <is>
          <t>Keep</t>
        </is>
      </c>
      <c r="E99" s="11" t="inlineStr"/>
      <c r="F99" s="11" t="inlineStr">
        <is>
          <t>Semrush tracking (project 2824033)</t>
        </is>
      </c>
      <c r="G99" s="9" t="n">
        <v>170</v>
      </c>
      <c r="H99" s="9" t="n">
        <v>260</v>
      </c>
      <c r="I99" s="9" t="n"/>
      <c r="J99" s="9" t="n"/>
      <c r="K99" s="9" t="inlineStr">
        <is>
          <t>/services/heating-cooling/furnace-repair/</t>
        </is>
      </c>
      <c r="L99" s="11" t="inlineStr"/>
    </row>
    <row r="100">
      <c r="A100" s="9" t="inlineStr">
        <is>
          <t>Langley</t>
        </is>
      </c>
      <c r="B100" s="9" t="inlineStr">
        <is>
          <t>Furnaces</t>
        </is>
      </c>
      <c r="C100" s="9" t="inlineStr">
        <is>
          <t>furnace installation langley</t>
        </is>
      </c>
      <c r="D100" s="12" t="inlineStr">
        <is>
          <t>Keep</t>
        </is>
      </c>
      <c r="E100" s="11" t="inlineStr"/>
      <c r="F100" s="11" t="inlineStr">
        <is>
          <t>Semrush tracking (project 2824033)</t>
        </is>
      </c>
      <c r="G100" s="9" t="n">
        <v>50</v>
      </c>
      <c r="H100" s="9" t="n">
        <v>20</v>
      </c>
      <c r="I100" s="9" t="n"/>
      <c r="J100" s="9" t="n"/>
      <c r="K100" s="9" t="inlineStr">
        <is>
          <t>/services/heating-cooling/furnace-installation/</t>
        </is>
      </c>
      <c r="L100" s="11" t="inlineStr"/>
    </row>
    <row r="101">
      <c r="A101" s="9" t="inlineStr">
        <is>
          <t>Langley</t>
        </is>
      </c>
      <c r="B101" s="9" t="inlineStr">
        <is>
          <t>Furnaces</t>
        </is>
      </c>
      <c r="C101" s="9" t="inlineStr">
        <is>
          <t>furnace replacement langley</t>
        </is>
      </c>
      <c r="D101" s="10" t="inlineStr">
        <is>
          <t>Add</t>
        </is>
      </c>
      <c r="E101" s="11" t="inlineStr">
        <is>
          <t>New service / gap term</t>
        </is>
      </c>
      <c r="F101" s="11" t="inlineStr">
        <is>
          <t>Gap list (keywords.md s.5): KW Research sheet 2024 / Client Overview 2026</t>
        </is>
      </c>
      <c r="G101" s="9" t="n">
        <v>50</v>
      </c>
      <c r="H101" s="9" t="n"/>
      <c r="I101" s="9" t="n"/>
      <c r="J101" s="9" t="n"/>
      <c r="K101" s="9" t="inlineStr">
        <is>
          <t>/services/heating-cooling/furnace-installation/</t>
        </is>
      </c>
      <c r="L101" s="11" t="inlineStr"/>
    </row>
    <row r="102">
      <c r="A102" s="9" t="inlineStr">
        <is>
          <t>Langley</t>
        </is>
      </c>
      <c r="B102" s="9" t="inlineStr">
        <is>
          <t>Furnaces</t>
        </is>
      </c>
      <c r="C102" s="9" t="inlineStr">
        <is>
          <t>furnace maintenance langley</t>
        </is>
      </c>
      <c r="D102" s="10" t="inlineStr">
        <is>
          <t>Add</t>
        </is>
      </c>
      <c r="E102" s="11" t="inlineStr">
        <is>
          <t>New service / gap term</t>
        </is>
      </c>
      <c r="F102" s="11" t="inlineStr">
        <is>
          <t>Gap list (keywords.md s.5): KW Research sheet 2024 / Client Overview 2026</t>
        </is>
      </c>
      <c r="G102" s="9" t="n">
        <v>40</v>
      </c>
      <c r="H102" s="9" t="n"/>
      <c r="I102" s="9" t="n"/>
      <c r="J102" s="9" t="n"/>
      <c r="K102" s="9" t="inlineStr">
        <is>
          <t>/services/heating-cooling/furnace-repair/</t>
        </is>
      </c>
      <c r="L102" s="11" t="inlineStr"/>
    </row>
    <row r="103">
      <c r="A103" s="9" t="inlineStr">
        <is>
          <t>Langley</t>
        </is>
      </c>
      <c r="B103" s="9" t="inlineStr">
        <is>
          <t>Furnaces</t>
        </is>
      </c>
      <c r="C103" s="9" t="inlineStr">
        <is>
          <t>furnace service langley</t>
        </is>
      </c>
      <c r="D103" s="12" t="inlineStr">
        <is>
          <t>Keep</t>
        </is>
      </c>
      <c r="E103" s="11" t="inlineStr"/>
      <c r="F103" s="11" t="inlineStr">
        <is>
          <t>Semrush tracking (project 2824033)</t>
        </is>
      </c>
      <c r="G103" s="9" t="n">
        <v>40</v>
      </c>
      <c r="H103" s="9" t="n">
        <v>40</v>
      </c>
      <c r="I103" s="9" t="n"/>
      <c r="J103" s="9" t="n"/>
      <c r="K103" s="9" t="inlineStr">
        <is>
          <t>/services/heating-cooling/furnace-repair/</t>
        </is>
      </c>
      <c r="L103" s="11" t="inlineStr"/>
    </row>
    <row r="104">
      <c r="A104" s="9" t="inlineStr">
        <is>
          <t>Langley</t>
        </is>
      </c>
      <c r="B104" s="9" t="inlineStr">
        <is>
          <t>Furnaces</t>
        </is>
      </c>
      <c r="C104" s="9" t="inlineStr">
        <is>
          <t>furnace services langley</t>
        </is>
      </c>
      <c r="D104" s="12" t="inlineStr">
        <is>
          <t>Keep</t>
        </is>
      </c>
      <c r="E104" s="11" t="inlineStr"/>
      <c r="F104" s="11" t="inlineStr">
        <is>
          <t>Semrush tracking (project 2824033)</t>
        </is>
      </c>
      <c r="G104" s="9" t="n"/>
      <c r="H104" s="9" t="n">
        <v>40</v>
      </c>
      <c r="I104" s="9" t="n"/>
      <c r="J104" s="9" t="n"/>
      <c r="K104" s="9" t="inlineStr">
        <is>
          <t>/services/heating-cooling/furnace-repair/</t>
        </is>
      </c>
      <c r="L104" s="11" t="inlineStr"/>
    </row>
    <row r="105">
      <c r="A105" s="9" t="inlineStr">
        <is>
          <t>Langley</t>
        </is>
      </c>
      <c r="B105" s="9" t="inlineStr">
        <is>
          <t>Gas fitting</t>
        </is>
      </c>
      <c r="C105" s="9" t="inlineStr">
        <is>
          <t>gas fitter langley</t>
        </is>
      </c>
      <c r="D105" s="12" t="inlineStr">
        <is>
          <t>Keep</t>
        </is>
      </c>
      <c r="E105" s="11" t="inlineStr"/>
      <c r="F105" s="11" t="inlineStr">
        <is>
          <t>Semrush tracking (project 2824033)</t>
        </is>
      </c>
      <c r="G105" s="9" t="n">
        <v>30</v>
      </c>
      <c r="H105" s="9" t="n">
        <v>40</v>
      </c>
      <c r="I105" s="9" t="n">
        <v>12</v>
      </c>
      <c r="J105" s="9" t="inlineStr">
        <is>
          <t>/services/gas-fitting/</t>
        </is>
      </c>
      <c r="K105" s="9" t="inlineStr">
        <is>
          <t>/services/gas-fitting/</t>
        </is>
      </c>
      <c r="L105" s="11" t="inlineStr"/>
    </row>
    <row r="106">
      <c r="A106" s="9" t="inlineStr">
        <is>
          <t>Langley</t>
        </is>
      </c>
      <c r="B106" s="9" t="inlineStr">
        <is>
          <t>Gas fitting</t>
        </is>
      </c>
      <c r="C106" s="9" t="inlineStr">
        <is>
          <t>gas line installation langley</t>
        </is>
      </c>
      <c r="D106" s="12" t="inlineStr">
        <is>
          <t>Keep</t>
        </is>
      </c>
      <c r="E106" s="11" t="inlineStr"/>
      <c r="F106" s="11" t="inlineStr">
        <is>
          <t>Semrush tracking (project 2824033)</t>
        </is>
      </c>
      <c r="G106" s="9" t="n">
        <v>10</v>
      </c>
      <c r="H106" s="9" t="n">
        <v>10</v>
      </c>
      <c r="I106" s="9" t="n"/>
      <c r="J106" s="9" t="n"/>
      <c r="K106" s="9" t="inlineStr">
        <is>
          <t>/services/gas-fitting/</t>
        </is>
      </c>
      <c r="L106" s="11" t="inlineStr"/>
    </row>
    <row r="107">
      <c r="A107" s="9" t="inlineStr">
        <is>
          <t>Langley</t>
        </is>
      </c>
      <c r="B107" s="9" t="inlineStr">
        <is>
          <t>Heat pumps</t>
        </is>
      </c>
      <c r="C107" s="9" t="inlineStr">
        <is>
          <t>heat pump installation langley</t>
        </is>
      </c>
      <c r="D107" s="12" t="inlineStr">
        <is>
          <t>Keep</t>
        </is>
      </c>
      <c r="E107" s="11" t="inlineStr"/>
      <c r="F107" s="11" t="inlineStr">
        <is>
          <t>Semrush tracking (project 2824033)</t>
        </is>
      </c>
      <c r="G107" s="9" t="n">
        <v>30</v>
      </c>
      <c r="H107" s="9" t="n">
        <v>10</v>
      </c>
      <c r="I107" s="9" t="n"/>
      <c r="J107" s="9" t="n"/>
      <c r="K107" s="9" t="inlineStr">
        <is>
          <t>/services/heating-cooling/heat-pumps/</t>
        </is>
      </c>
      <c r="L107" s="11" t="inlineStr"/>
    </row>
    <row r="108">
      <c r="A108" s="9" t="inlineStr">
        <is>
          <t>Langley</t>
        </is>
      </c>
      <c r="B108" s="9" t="inlineStr">
        <is>
          <t>Heat pumps</t>
        </is>
      </c>
      <c r="C108" s="9" t="inlineStr">
        <is>
          <t>heat pump repair langley</t>
        </is>
      </c>
      <c r="D108" s="10" t="inlineStr">
        <is>
          <t>Add</t>
        </is>
      </c>
      <c r="E108" s="11" t="inlineStr">
        <is>
          <t>New service / gap term</t>
        </is>
      </c>
      <c r="F108" s="11" t="inlineStr">
        <is>
          <t>Gap list (keywords.md s.5): client service change 2026-08-20</t>
        </is>
      </c>
      <c r="G108" s="9" t="n">
        <v>10</v>
      </c>
      <c r="H108" s="9" t="n"/>
      <c r="I108" s="9" t="n"/>
      <c r="J108" s="9" t="n"/>
      <c r="K108" s="9" t="inlineStr">
        <is>
          <t>/services/heating-cooling/heat-pumps/</t>
        </is>
      </c>
      <c r="L108" s="11" t="inlineStr">
        <is>
          <t>AC / heat pump repair offered since 2026-08-20; live AC and heat pump pages still say "installs only" (fix before pushing these).</t>
        </is>
      </c>
    </row>
    <row r="109">
      <c r="A109" s="9" t="inlineStr">
        <is>
          <t>Langley</t>
        </is>
      </c>
      <c r="B109" s="9" t="inlineStr">
        <is>
          <t>Heating &amp; cooling (general)</t>
        </is>
      </c>
      <c r="C109" s="9" t="inlineStr">
        <is>
          <t>hvac langley</t>
        </is>
      </c>
      <c r="D109" s="10" t="inlineStr">
        <is>
          <t>Add</t>
        </is>
      </c>
      <c r="E109" s="11" t="inlineStr">
        <is>
          <t>New service / gap term</t>
        </is>
      </c>
      <c r="F109" s="11" t="inlineStr">
        <is>
          <t>Gap list (keywords.md s.5): KW Research sheet 2024 / Client Overview 2026</t>
        </is>
      </c>
      <c r="G109" s="9" t="n">
        <v>210</v>
      </c>
      <c r="H109" s="9" t="n"/>
      <c r="I109" s="9" t="n"/>
      <c r="J109" s="9" t="n"/>
      <c r="K109" s="9" t="inlineStr">
        <is>
          <t>/langley-plumbing-and-heating/</t>
        </is>
      </c>
      <c r="L109" s="11" t="inlineStr">
        <is>
          <t>Residential only; no commercial HVAC.</t>
        </is>
      </c>
    </row>
    <row r="110">
      <c r="A110" s="9" t="inlineStr">
        <is>
          <t>Langley</t>
        </is>
      </c>
      <c r="B110" s="9" t="inlineStr">
        <is>
          <t>Heating &amp; cooling (general)</t>
        </is>
      </c>
      <c r="C110" s="9" t="inlineStr">
        <is>
          <t>plumbing and heating langley</t>
        </is>
      </c>
      <c r="D110" s="12" t="inlineStr">
        <is>
          <t>Keep</t>
        </is>
      </c>
      <c r="E110" s="11" t="inlineStr"/>
      <c r="F110" s="11" t="inlineStr">
        <is>
          <t>Semrush tracking (project 2824033)</t>
        </is>
      </c>
      <c r="G110" s="9" t="n">
        <v>70</v>
      </c>
      <c r="H110" s="9" t="n">
        <v>50</v>
      </c>
      <c r="I110" s="9" t="n"/>
      <c r="J110" s="9" t="n"/>
      <c r="K110" s="9" t="inlineStr">
        <is>
          <t>/langley-plumbing-and-heating/</t>
        </is>
      </c>
      <c r="L110" s="11" t="inlineStr"/>
    </row>
    <row r="111">
      <c r="A111" s="9" t="inlineStr">
        <is>
          <t>Langley</t>
        </is>
      </c>
      <c r="B111" s="9" t="inlineStr">
        <is>
          <t>Heating &amp; cooling (general)</t>
        </is>
      </c>
      <c r="C111" s="9" t="inlineStr">
        <is>
          <t>heating installation langley</t>
        </is>
      </c>
      <c r="D111" s="12" t="inlineStr">
        <is>
          <t>Keep</t>
        </is>
      </c>
      <c r="E111" s="11" t="inlineStr"/>
      <c r="F111" s="11" t="inlineStr">
        <is>
          <t>Semrush tracking (project 2824033)</t>
        </is>
      </c>
      <c r="G111" s="9" t="n">
        <v>10</v>
      </c>
      <c r="H111" s="9" t="n">
        <v>10</v>
      </c>
      <c r="I111" s="9" t="n"/>
      <c r="J111" s="9" t="n"/>
      <c r="K111" s="9" t="inlineStr">
        <is>
          <t>/langley-plumbing-and-heating/</t>
        </is>
      </c>
      <c r="L111" s="11" t="inlineStr"/>
    </row>
    <row r="112">
      <c r="A112" s="9" t="inlineStr">
        <is>
          <t>Langley</t>
        </is>
      </c>
      <c r="B112" s="9" t="inlineStr">
        <is>
          <t>Heating &amp; cooling (general)</t>
        </is>
      </c>
      <c r="C112" s="9" t="inlineStr">
        <is>
          <t>heating service langley</t>
        </is>
      </c>
      <c r="D112" s="12" t="inlineStr">
        <is>
          <t>Keep</t>
        </is>
      </c>
      <c r="E112" s="11" t="inlineStr"/>
      <c r="F112" s="11" t="inlineStr">
        <is>
          <t>Semrush tracking (project 2824033)</t>
        </is>
      </c>
      <c r="G112" s="9" t="n"/>
      <c r="H112" s="9" t="n">
        <v>10</v>
      </c>
      <c r="I112" s="9" t="n">
        <v>85</v>
      </c>
      <c r="J112" s="9" t="inlineStr">
        <is>
          <t>/langley-plumbing-and-heating/</t>
        </is>
      </c>
      <c r="K112" s="9" t="inlineStr">
        <is>
          <t>/langley-plumbing-and-heating/</t>
        </is>
      </c>
      <c r="L112" s="11" t="inlineStr"/>
    </row>
    <row r="113">
      <c r="A113" s="9" t="inlineStr">
        <is>
          <t>Langley</t>
        </is>
      </c>
      <c r="B113" s="9" t="inlineStr">
        <is>
          <t>Hot water tanks</t>
        </is>
      </c>
      <c r="C113" s="9" t="inlineStr">
        <is>
          <t>hot water tank replacement langley</t>
        </is>
      </c>
      <c r="D113" s="12" t="inlineStr">
        <is>
          <t>Keep</t>
        </is>
      </c>
      <c r="E113" s="11" t="inlineStr"/>
      <c r="F113" s="11" t="inlineStr">
        <is>
          <t>Semrush tracking (project 2824033)</t>
        </is>
      </c>
      <c r="G113" s="9" t="n">
        <v>40</v>
      </c>
      <c r="H113" s="9" t="n">
        <v>20</v>
      </c>
      <c r="I113" s="9" t="n">
        <v>10</v>
      </c>
      <c r="J113" s="9" t="inlineStr">
        <is>
          <t>/services/plumbing/hot-water-tanks/</t>
        </is>
      </c>
      <c r="K113" s="9" t="inlineStr">
        <is>
          <t>/services/plumbing/hot-water-tanks/</t>
        </is>
      </c>
      <c r="L113" s="11" t="inlineStr"/>
    </row>
    <row r="114">
      <c r="A114" s="9" t="inlineStr">
        <is>
          <t>Langley</t>
        </is>
      </c>
      <c r="B114" s="9" t="inlineStr">
        <is>
          <t>Hot water tanks</t>
        </is>
      </c>
      <c r="C114" s="9" t="inlineStr">
        <is>
          <t>hot water tank installation langley</t>
        </is>
      </c>
      <c r="D114" s="12" t="inlineStr">
        <is>
          <t>Keep</t>
        </is>
      </c>
      <c r="E114" s="11" t="inlineStr"/>
      <c r="F114" s="11" t="inlineStr">
        <is>
          <t>Semrush tracking (project 2824033)</t>
        </is>
      </c>
      <c r="G114" s="9" t="n">
        <v>30</v>
      </c>
      <c r="H114" s="9" t="n">
        <v>10</v>
      </c>
      <c r="I114" s="9" t="n">
        <v>17</v>
      </c>
      <c r="J114" s="9" t="inlineStr">
        <is>
          <t>/services/plumbing/hot-water-tanks/</t>
        </is>
      </c>
      <c r="K114" s="9" t="inlineStr">
        <is>
          <t>/services/plumbing/hot-water-tanks/</t>
        </is>
      </c>
      <c r="L114" s="11" t="inlineStr"/>
    </row>
    <row r="115">
      <c r="A115" s="9" t="inlineStr">
        <is>
          <t>Langley</t>
        </is>
      </c>
      <c r="B115" s="9" t="inlineStr">
        <is>
          <t>Hot water tanks</t>
        </is>
      </c>
      <c r="C115" s="9" t="inlineStr">
        <is>
          <t>hot water tank repair langley</t>
        </is>
      </c>
      <c r="D115" s="12" t="inlineStr">
        <is>
          <t>Keep</t>
        </is>
      </c>
      <c r="E115" s="11" t="inlineStr"/>
      <c r="F115" s="11" t="inlineStr">
        <is>
          <t>Semrush tracking (project 2824033)</t>
        </is>
      </c>
      <c r="G115" s="9" t="n">
        <v>10</v>
      </c>
      <c r="H115" s="9" t="n">
        <v>20</v>
      </c>
      <c r="I115" s="9" t="n">
        <v>5</v>
      </c>
      <c r="J115" s="9" t="inlineStr">
        <is>
          <t>/services/plumbing/hot-water-tanks/</t>
        </is>
      </c>
      <c r="K115" s="9" t="inlineStr">
        <is>
          <t>/services/plumbing/hot-water-tanks/</t>
        </is>
      </c>
      <c r="L115" s="11" t="inlineStr"/>
    </row>
    <row r="116">
      <c r="A116" s="9" t="inlineStr">
        <is>
          <t>Langley</t>
        </is>
      </c>
      <c r="B116" s="9" t="inlineStr">
        <is>
          <t>Hot water tanks</t>
        </is>
      </c>
      <c r="C116" s="9" t="inlineStr">
        <is>
          <t>hot water tank services langley</t>
        </is>
      </c>
      <c r="D116" s="12" t="inlineStr">
        <is>
          <t>Keep</t>
        </is>
      </c>
      <c r="E116" s="11" t="inlineStr"/>
      <c r="F116" s="11" t="inlineStr">
        <is>
          <t>Semrush tracking (project 2824033)</t>
        </is>
      </c>
      <c r="G116" s="9" t="n">
        <v>10</v>
      </c>
      <c r="H116" s="9" t="n">
        <v>10</v>
      </c>
      <c r="I116" s="9" t="n">
        <v>14</v>
      </c>
      <c r="J116" s="9" t="inlineStr">
        <is>
          <t>/services/plumbing/hot-water-tanks/</t>
        </is>
      </c>
      <c r="K116" s="9" t="inlineStr">
        <is>
          <t>/services/plumbing/hot-water-tanks/</t>
        </is>
      </c>
      <c r="L116" s="11" t="inlineStr"/>
    </row>
    <row r="117">
      <c r="A117" s="9" t="inlineStr">
        <is>
          <t>Langley</t>
        </is>
      </c>
      <c r="B117" s="9" t="inlineStr">
        <is>
          <t>Hot water tanks</t>
        </is>
      </c>
      <c r="C117" s="9" t="inlineStr">
        <is>
          <t>water heater repair langley</t>
        </is>
      </c>
      <c r="D117" s="10" t="inlineStr">
        <is>
          <t>Add</t>
        </is>
      </c>
      <c r="E117" s="11" t="inlineStr">
        <is>
          <t>New service / gap term</t>
        </is>
      </c>
      <c r="F117" s="11" t="inlineStr">
        <is>
          <t>Gap list (keywords.md s.5): KW Research sheet 2024 / Client Overview 2026</t>
        </is>
      </c>
      <c r="G117" s="9" t="n">
        <v>10</v>
      </c>
      <c r="H117" s="9" t="n"/>
      <c r="I117" s="9" t="n"/>
      <c r="J117" s="9" t="n"/>
      <c r="K117" s="9" t="inlineStr">
        <is>
          <t>/services/plumbing/hot-water-tanks/</t>
        </is>
      </c>
      <c r="L117" s="11" t="inlineStr"/>
    </row>
    <row r="118">
      <c r="A118" s="9" t="inlineStr">
        <is>
          <t>Langley</t>
        </is>
      </c>
      <c r="B118" s="9" t="inlineStr">
        <is>
          <t>Plumbing (general)</t>
        </is>
      </c>
      <c r="C118" s="9" t="inlineStr">
        <is>
          <t>plumber in langley</t>
        </is>
      </c>
      <c r="D118" s="12" t="inlineStr">
        <is>
          <t>Keep</t>
        </is>
      </c>
      <c r="E118" s="11" t="inlineStr"/>
      <c r="F118" s="11" t="inlineStr">
        <is>
          <t>Semrush tracking (project 2824033)</t>
        </is>
      </c>
      <c r="G118" s="9" t="n">
        <v>1000</v>
      </c>
      <c r="H118" s="9" t="n">
        <v>880</v>
      </c>
      <c r="I118" s="9" t="n">
        <v>44</v>
      </c>
      <c r="J118" s="9" t="inlineStr">
        <is>
          <t>/langley-plumbing-and-heating/</t>
        </is>
      </c>
      <c r="K118" s="9" t="inlineStr">
        <is>
          <t>/langley-plumbing-and-heating/</t>
        </is>
      </c>
      <c r="L118" s="11" t="inlineStr"/>
    </row>
    <row r="119">
      <c r="A119" s="9" t="inlineStr">
        <is>
          <t>Langley</t>
        </is>
      </c>
      <c r="B119" s="9" t="inlineStr">
        <is>
          <t>Plumbing (general)</t>
        </is>
      </c>
      <c r="C119" s="9" t="inlineStr">
        <is>
          <t>langley plumbing</t>
        </is>
      </c>
      <c r="D119" s="12" t="inlineStr">
        <is>
          <t>Keep</t>
        </is>
      </c>
      <c r="E119" s="11" t="inlineStr"/>
      <c r="F119" s="11" t="inlineStr">
        <is>
          <t>Semrush tracking (project 2824033)</t>
        </is>
      </c>
      <c r="G119" s="9" t="n"/>
      <c r="H119" s="9" t="n">
        <v>880</v>
      </c>
      <c r="I119" s="9" t="n"/>
      <c r="J119" s="9" t="n"/>
      <c r="K119" s="9" t="inlineStr">
        <is>
          <t>/langley-plumbing-and-heating/</t>
        </is>
      </c>
      <c r="L119" s="11" t="inlineStr"/>
    </row>
    <row r="120">
      <c r="A120" s="9" t="inlineStr">
        <is>
          <t>Langley</t>
        </is>
      </c>
      <c r="B120" s="9" t="inlineStr">
        <is>
          <t>Plumbing (general)</t>
        </is>
      </c>
      <c r="C120" s="9" t="inlineStr">
        <is>
          <t>plumber langley</t>
        </is>
      </c>
      <c r="D120" s="12" t="inlineStr">
        <is>
          <t>Keep</t>
        </is>
      </c>
      <c r="E120" s="11" t="inlineStr"/>
      <c r="F120" s="11" t="inlineStr">
        <is>
          <t>Semrush tracking (project 2824033)</t>
        </is>
      </c>
      <c r="G120" s="9" t="n"/>
      <c r="H120" s="9" t="n">
        <v>880</v>
      </c>
      <c r="I120" s="9" t="n">
        <v>50</v>
      </c>
      <c r="J120" s="9" t="inlineStr">
        <is>
          <t>/langley-plumbing-and-heating/</t>
        </is>
      </c>
      <c r="K120" s="9" t="inlineStr">
        <is>
          <t>/langley-plumbing-and-heating/</t>
        </is>
      </c>
      <c r="L120" s="11" t="inlineStr"/>
    </row>
    <row r="121">
      <c r="A121" s="9" t="inlineStr">
        <is>
          <t>Langley</t>
        </is>
      </c>
      <c r="B121" s="9" t="inlineStr">
        <is>
          <t>Plumbing (general)</t>
        </is>
      </c>
      <c r="C121" s="9" t="inlineStr">
        <is>
          <t>plumbers langley</t>
        </is>
      </c>
      <c r="D121" s="12" t="inlineStr">
        <is>
          <t>Keep</t>
        </is>
      </c>
      <c r="E121" s="11" t="inlineStr"/>
      <c r="F121" s="11" t="inlineStr">
        <is>
          <t>Semrush tracking (project 2824033)</t>
        </is>
      </c>
      <c r="G121" s="9" t="n"/>
      <c r="H121" s="9" t="n">
        <v>880</v>
      </c>
      <c r="I121" s="9" t="n">
        <v>49</v>
      </c>
      <c r="J121" s="9" t="inlineStr">
        <is>
          <t>/langley-plumbing-and-heating/</t>
        </is>
      </c>
      <c r="K121" s="9" t="inlineStr">
        <is>
          <t>/langley-plumbing-and-heating/</t>
        </is>
      </c>
      <c r="L121" s="11" t="inlineStr"/>
    </row>
    <row r="122">
      <c r="A122" s="9" t="inlineStr">
        <is>
          <t>Langley</t>
        </is>
      </c>
      <c r="B122" s="9" t="inlineStr">
        <is>
          <t>Plumbing (general)</t>
        </is>
      </c>
      <c r="C122" s="9" t="inlineStr">
        <is>
          <t>plumbers langley bc</t>
        </is>
      </c>
      <c r="D122" s="12" t="inlineStr">
        <is>
          <t>Keep</t>
        </is>
      </c>
      <c r="E122" s="11" t="inlineStr"/>
      <c r="F122" s="11" t="inlineStr">
        <is>
          <t>Semrush tracking (project 2824033)</t>
        </is>
      </c>
      <c r="G122" s="9" t="n">
        <v>170</v>
      </c>
      <c r="H122" s="9" t="n">
        <v>70</v>
      </c>
      <c r="I122" s="9" t="n">
        <v>32</v>
      </c>
      <c r="J122" s="9" t="inlineStr">
        <is>
          <t>/langley-plumbing-and-heating/</t>
        </is>
      </c>
      <c r="K122" s="9" t="inlineStr">
        <is>
          <t>/langley-plumbing-and-heating/</t>
        </is>
      </c>
      <c r="L122" s="11" t="inlineStr"/>
    </row>
    <row r="123">
      <c r="A123" s="9" t="inlineStr">
        <is>
          <t>Langley</t>
        </is>
      </c>
      <c r="B123" s="9" t="inlineStr">
        <is>
          <t>Plumbing (general)</t>
        </is>
      </c>
      <c r="C123" s="9" t="inlineStr">
        <is>
          <t>plumbing company langley</t>
        </is>
      </c>
      <c r="D123" s="12" t="inlineStr">
        <is>
          <t>Keep</t>
        </is>
      </c>
      <c r="E123" s="11" t="inlineStr"/>
      <c r="F123" s="11" t="inlineStr">
        <is>
          <t>Semrush tracking (project 2824033)</t>
        </is>
      </c>
      <c r="G123" s="9" t="n">
        <v>90</v>
      </c>
      <c r="H123" s="9" t="n">
        <v>10</v>
      </c>
      <c r="I123" s="9" t="n">
        <v>65</v>
      </c>
      <c r="J123" s="9" t="inlineStr">
        <is>
          <t>/langley-plumbing-and-heating/</t>
        </is>
      </c>
      <c r="K123" s="9" t="inlineStr">
        <is>
          <t>/langley-plumbing-and-heating/</t>
        </is>
      </c>
      <c r="L123" s="11" t="inlineStr"/>
    </row>
    <row r="124">
      <c r="A124" s="9" t="inlineStr">
        <is>
          <t>Langley</t>
        </is>
      </c>
      <c r="B124" s="9" t="inlineStr">
        <is>
          <t>Plumbing (general)</t>
        </is>
      </c>
      <c r="C124" s="9" t="inlineStr">
        <is>
          <t>plumbers in langley bc</t>
        </is>
      </c>
      <c r="D124" s="12" t="inlineStr">
        <is>
          <t>Keep</t>
        </is>
      </c>
      <c r="E124" s="11" t="inlineStr"/>
      <c r="F124" s="11" t="inlineStr">
        <is>
          <t>Semrush tracking (project 2824033)</t>
        </is>
      </c>
      <c r="G124" s="9" t="n"/>
      <c r="H124" s="9" t="n">
        <v>70</v>
      </c>
      <c r="I124" s="9" t="n">
        <v>59</v>
      </c>
      <c r="J124" s="9" t="inlineStr">
        <is>
          <t>/langley-plumbing-and-heating/</t>
        </is>
      </c>
      <c r="K124" s="9" t="inlineStr">
        <is>
          <t>/langley-plumbing-and-heating/</t>
        </is>
      </c>
      <c r="L124" s="11" t="inlineStr"/>
    </row>
    <row r="125">
      <c r="A125" s="9" t="inlineStr">
        <is>
          <t>Langley</t>
        </is>
      </c>
      <c r="B125" s="9" t="inlineStr">
        <is>
          <t>Plumbing (general)</t>
        </is>
      </c>
      <c r="C125" s="9" t="inlineStr">
        <is>
          <t>plumbing services langley</t>
        </is>
      </c>
      <c r="D125" s="12" t="inlineStr">
        <is>
          <t>Keep</t>
        </is>
      </c>
      <c r="E125" s="11" t="inlineStr"/>
      <c r="F125" s="11" t="inlineStr">
        <is>
          <t>Semrush tracking (project 2824033)</t>
        </is>
      </c>
      <c r="G125" s="9" t="n">
        <v>30</v>
      </c>
      <c r="H125" s="9" t="n">
        <v>10</v>
      </c>
      <c r="I125" s="9" t="n">
        <v>65</v>
      </c>
      <c r="J125" s="9" t="inlineStr">
        <is>
          <t>/langley-plumbing-and-heating/</t>
        </is>
      </c>
      <c r="K125" s="9" t="inlineStr">
        <is>
          <t>/langley-plumbing-and-heating/</t>
        </is>
      </c>
      <c r="L125" s="11" t="inlineStr"/>
    </row>
    <row r="126">
      <c r="A126" s="9" t="inlineStr">
        <is>
          <t>Langley</t>
        </is>
      </c>
      <c r="B126" s="9" t="inlineStr">
        <is>
          <t>Plumbing (general)</t>
        </is>
      </c>
      <c r="C126" s="9" t="inlineStr">
        <is>
          <t>best plumber langley</t>
        </is>
      </c>
      <c r="D126" s="12" t="inlineStr">
        <is>
          <t>Keep</t>
        </is>
      </c>
      <c r="E126" s="11" t="inlineStr"/>
      <c r="F126" s="11" t="inlineStr">
        <is>
          <t>Semrush tracking (project 2824033)</t>
        </is>
      </c>
      <c r="G126" s="9" t="n">
        <v>10</v>
      </c>
      <c r="H126" s="9" t="n">
        <v>10</v>
      </c>
      <c r="I126" s="9" t="n">
        <v>21</v>
      </c>
      <c r="J126" s="9" t="inlineStr">
        <is>
          <t>/langley-plumbing-and-heating/</t>
        </is>
      </c>
      <c r="K126" s="9" t="inlineStr">
        <is>
          <t>/langley-plumbing-and-heating/</t>
        </is>
      </c>
      <c r="L126" s="11" t="inlineStr">
        <is>
          <t>Track only. No "best" or superlatives in copy (brand rule).</t>
        </is>
      </c>
    </row>
    <row r="127">
      <c r="A127" s="9" t="inlineStr">
        <is>
          <t>Langley</t>
        </is>
      </c>
      <c r="B127" s="9" t="inlineStr">
        <is>
          <t>Plumbing (general)</t>
        </is>
      </c>
      <c r="C127" s="9" t="inlineStr">
        <is>
          <t>plumber fort langley</t>
        </is>
      </c>
      <c r="D127" s="10" t="inlineStr">
        <is>
          <t>Add</t>
        </is>
      </c>
      <c r="E127" s="11" t="inlineStr">
        <is>
          <t>Location-specific: client priority area</t>
        </is>
      </c>
      <c r="F127" s="11" t="inlineStr">
        <is>
          <t>Client priority areas (Client Briefing 2026)</t>
        </is>
      </c>
      <c r="G127" s="9" t="n">
        <v>10</v>
      </c>
      <c r="H127" s="9" t="n"/>
      <c r="I127" s="9" t="n"/>
      <c r="J127" s="9" t="n"/>
      <c r="K127" s="9" t="inlineStr">
        <is>
          <t>/langley-plumbing-and-heating/</t>
        </is>
      </c>
      <c r="L127" s="11" t="inlineStr"/>
    </row>
    <row r="128">
      <c r="A128" s="9" t="inlineStr">
        <is>
          <t>Langley</t>
        </is>
      </c>
      <c r="B128" s="9" t="inlineStr">
        <is>
          <t>Plumbing (general)</t>
        </is>
      </c>
      <c r="C128" s="9" t="inlineStr">
        <is>
          <t>plumber willoughby</t>
        </is>
      </c>
      <c r="D128" s="10" t="inlineStr">
        <is>
          <t>Add</t>
        </is>
      </c>
      <c r="E128" s="11" t="inlineStr">
        <is>
          <t>Location-specific: client priority area</t>
        </is>
      </c>
      <c r="F128" s="11" t="inlineStr">
        <is>
          <t>Client priority areas (Client Briefing 2026)</t>
        </is>
      </c>
      <c r="G128" s="9" t="n">
        <v>10</v>
      </c>
      <c r="H128" s="9" t="n"/>
      <c r="I128" s="9" t="n"/>
      <c r="J128" s="9" t="n"/>
      <c r="K128" s="9" t="inlineStr">
        <is>
          <t>/langley-plumbing-and-heating/</t>
        </is>
      </c>
      <c r="L128" s="11" t="inlineStr"/>
    </row>
    <row r="129">
      <c r="A129" s="9" t="inlineStr">
        <is>
          <t>Langley</t>
        </is>
      </c>
      <c r="B129" s="9" t="inlineStr">
        <is>
          <t>Radiant / in-floor</t>
        </is>
      </c>
      <c r="C129" s="9" t="inlineStr">
        <is>
          <t>in floor heating langley</t>
        </is>
      </c>
      <c r="D129" s="12" t="inlineStr">
        <is>
          <t>Keep</t>
        </is>
      </c>
      <c r="E129" s="11" t="inlineStr"/>
      <c r="F129" s="11" t="inlineStr">
        <is>
          <t>Semrush tracking (project 2824033)</t>
        </is>
      </c>
      <c r="G129" s="9" t="n">
        <v>10</v>
      </c>
      <c r="H129" s="9" t="n">
        <v>10</v>
      </c>
      <c r="I129" s="9" t="n">
        <v>2</v>
      </c>
      <c r="J129" s="9" t="inlineStr">
        <is>
          <t>/services/plumbing/radiant-in-floor-heating/</t>
        </is>
      </c>
      <c r="K129" s="9" t="inlineStr">
        <is>
          <t>/services/plumbing/radiant-in-floor-heating/</t>
        </is>
      </c>
      <c r="L129" s="11" t="inlineStr"/>
    </row>
    <row r="130">
      <c r="A130" s="9" t="inlineStr">
        <is>
          <t>Langley</t>
        </is>
      </c>
      <c r="B130" s="9" t="inlineStr">
        <is>
          <t>Radiant / in-floor</t>
        </is>
      </c>
      <c r="C130" s="9" t="inlineStr">
        <is>
          <t>radiant heating langley</t>
        </is>
      </c>
      <c r="D130" s="12" t="inlineStr">
        <is>
          <t>Keep</t>
        </is>
      </c>
      <c r="E130" s="11" t="inlineStr"/>
      <c r="F130" s="11" t="inlineStr">
        <is>
          <t>Semrush tracking (project 2824033)</t>
        </is>
      </c>
      <c r="G130" s="9" t="n">
        <v>10</v>
      </c>
      <c r="H130" s="9" t="n">
        <v>10</v>
      </c>
      <c r="I130" s="9" t="n">
        <v>1</v>
      </c>
      <c r="J130" s="9" t="inlineStr">
        <is>
          <t>/services/plumbing/radiant-in-floor-heating/</t>
        </is>
      </c>
      <c r="K130" s="9" t="inlineStr">
        <is>
          <t>/services/plumbing/radiant-in-floor-heating/</t>
        </is>
      </c>
      <c r="L130" s="11" t="inlineStr"/>
    </row>
    <row r="131">
      <c r="A131" s="9" t="inlineStr">
        <is>
          <t>Langley</t>
        </is>
      </c>
      <c r="B131" s="9" t="inlineStr">
        <is>
          <t>Tankless</t>
        </is>
      </c>
      <c r="C131" s="9" t="inlineStr">
        <is>
          <t>tankless water heater installation langley</t>
        </is>
      </c>
      <c r="D131" s="12" t="inlineStr">
        <is>
          <t>Keep</t>
        </is>
      </c>
      <c r="E131" s="11" t="inlineStr"/>
      <c r="F131" s="11" t="inlineStr">
        <is>
          <t>Semrush tracking (project 2824033)</t>
        </is>
      </c>
      <c r="G131" s="9" t="n">
        <v>10</v>
      </c>
      <c r="H131" s="9" t="n">
        <v>10</v>
      </c>
      <c r="I131" s="9" t="n"/>
      <c r="J131" s="9" t="n"/>
      <c r="K131" s="9" t="inlineStr">
        <is>
          <t>/services/plumbing/tankless-water-heaters/</t>
        </is>
      </c>
      <c r="L131" s="11" t="inlineStr"/>
    </row>
    <row r="132">
      <c r="A132" s="9" t="inlineStr">
        <is>
          <t>Langley</t>
        </is>
      </c>
      <c r="B132" s="9" t="inlineStr">
        <is>
          <t>Tankless</t>
        </is>
      </c>
      <c r="C132" s="9" t="inlineStr">
        <is>
          <t>tankless water heater repair langley</t>
        </is>
      </c>
      <c r="D132" s="12" t="inlineStr">
        <is>
          <t>Keep</t>
        </is>
      </c>
      <c r="E132" s="11" t="inlineStr"/>
      <c r="F132" s="11" t="inlineStr">
        <is>
          <t>Semrush tracking (project 2824033)</t>
        </is>
      </c>
      <c r="G132" s="9" t="n">
        <v>10</v>
      </c>
      <c r="H132" s="9" t="n">
        <v>10</v>
      </c>
      <c r="I132" s="9" t="n"/>
      <c r="J132" s="9" t="n"/>
      <c r="K132" s="9" t="inlineStr">
        <is>
          <t>/services/plumbing/tankless-water-heaters/</t>
        </is>
      </c>
      <c r="L132" s="11" t="inlineStr">
        <is>
          <t>Kept despite low volume (20/mo combined): core Navien/tankless repair service.</t>
        </is>
      </c>
    </row>
    <row r="133">
      <c r="A133" s="9" t="inlineStr">
        <is>
          <t>Langley</t>
        </is>
      </c>
      <c r="B133" s="9" t="inlineStr">
        <is>
          <t>Tankless</t>
        </is>
      </c>
      <c r="C133" s="9" t="inlineStr">
        <is>
          <t>tankless water heater services langley</t>
        </is>
      </c>
      <c r="D133" s="12" t="inlineStr">
        <is>
          <t>Keep</t>
        </is>
      </c>
      <c r="E133" s="11" t="inlineStr"/>
      <c r="F133" s="11" t="inlineStr">
        <is>
          <t>Semrush tracking (project 2824033)</t>
        </is>
      </c>
      <c r="G133" s="9" t="n">
        <v>10</v>
      </c>
      <c r="H133" s="9" t="n">
        <v>10</v>
      </c>
      <c r="I133" s="9" t="n"/>
      <c r="J133" s="9" t="n"/>
      <c r="K133" s="9" t="inlineStr">
        <is>
          <t>/services/plumbing/tankless-water-heaters/</t>
        </is>
      </c>
      <c r="L133" s="11" t="inlineStr"/>
    </row>
    <row r="134">
      <c r="A134" s="9" t="inlineStr">
        <is>
          <t>All (no location)</t>
        </is>
      </c>
      <c r="B134" s="9" t="inlineStr">
        <is>
          <t>Navien</t>
        </is>
      </c>
      <c r="C134" s="9" t="inlineStr">
        <is>
          <t>navien tankless repair</t>
        </is>
      </c>
      <c r="D134" s="10" t="inlineStr">
        <is>
          <t>Add</t>
        </is>
      </c>
      <c r="E134" s="11" t="inlineStr">
        <is>
          <t>National term; already ranks about #10-14 on /services/navien/</t>
        </is>
      </c>
      <c r="F134" s="11" t="inlineStr">
        <is>
          <t>Gap list (keywords.md s.5): Sept 2026 audit + Navien plan</t>
        </is>
      </c>
      <c r="G134" s="9" t="n">
        <v>1600</v>
      </c>
      <c r="H134" s="9" t="n"/>
      <c r="I134" s="9" t="n"/>
      <c r="J134" s="9" t="n"/>
      <c r="K134" s="9" t="inlineStr">
        <is>
          <t>/services/navien/</t>
        </is>
      </c>
      <c r="L134" s="11" t="inlineStr">
        <is>
          <t>Navien tracked at category level only.</t>
        </is>
      </c>
    </row>
    <row r="135">
      <c r="A135" s="9" t="inlineStr">
        <is>
          <t>All (no location)</t>
        </is>
      </c>
      <c r="B135" s="9" t="inlineStr">
        <is>
          <t>Navien</t>
        </is>
      </c>
      <c r="C135" s="9" t="inlineStr">
        <is>
          <t>navien tankless water heater repair</t>
        </is>
      </c>
      <c r="D135" s="10" t="inlineStr">
        <is>
          <t>Add</t>
        </is>
      </c>
      <c r="E135" s="11" t="inlineStr">
        <is>
          <t>National term; already ranks about #10-14 on /services/navien/</t>
        </is>
      </c>
      <c r="F135" s="11" t="inlineStr">
        <is>
          <t>Gap list (keywords.md s.5): Sept 2026 audit + Navien plan</t>
        </is>
      </c>
      <c r="G135" s="9" t="n">
        <v>1600</v>
      </c>
      <c r="H135" s="9" t="n"/>
      <c r="I135" s="9" t="n"/>
      <c r="J135" s="9" t="n"/>
      <c r="K135" s="9" t="inlineStr">
        <is>
          <t>/services/navien/</t>
        </is>
      </c>
      <c r="L135" s="11" t="inlineStr">
        <is>
          <t>Navien tracked at category level only.</t>
        </is>
      </c>
    </row>
    <row r="136">
      <c r="A136" s="9" t="inlineStr">
        <is>
          <t>All (no location)</t>
        </is>
      </c>
      <c r="B136" s="9" t="inlineStr">
        <is>
          <t>Navien</t>
        </is>
      </c>
      <c r="C136" s="9" t="inlineStr">
        <is>
          <t>navien service</t>
        </is>
      </c>
      <c r="D136" s="10" t="inlineStr">
        <is>
          <t>Add</t>
        </is>
      </c>
      <c r="E136" s="11" t="inlineStr">
        <is>
          <t>National term; already ranks about #10-14 on /services/navien/</t>
        </is>
      </c>
      <c r="F136" s="11" t="inlineStr">
        <is>
          <t>Gap list (keywords.md s.5): Sept 2026 audit + Navien plan</t>
        </is>
      </c>
      <c r="G136" s="9" t="n">
        <v>20</v>
      </c>
      <c r="H136" s="9" t="n"/>
      <c r="I136" s="9" t="n"/>
      <c r="J136" s="9" t="n"/>
      <c r="K136" s="9" t="inlineStr">
        <is>
          <t>/services/navien/</t>
        </is>
      </c>
      <c r="L136" s="11" t="inlineStr">
        <is>
          <t>Navien tracked at category level only.</t>
        </is>
      </c>
    </row>
    <row r="137">
      <c r="A137" s="9" t="inlineStr">
        <is>
          <t>All (no location)</t>
        </is>
      </c>
      <c r="B137" s="9" t="inlineStr">
        <is>
          <t>Navien</t>
        </is>
      </c>
      <c r="C137" s="9" t="inlineStr">
        <is>
          <t>navien error codes</t>
        </is>
      </c>
      <c r="D137" s="10" t="inlineStr">
        <is>
          <t>Add</t>
        </is>
      </c>
      <c r="E137" s="11" t="inlineStr">
        <is>
          <t>Zero-volume niche term kept as an AEO opportunity (client rule)</t>
        </is>
      </c>
      <c r="F137" s="11" t="inlineStr">
        <is>
          <t>Gap list (keywords.md s.5): Sept 2026 audit + Navien plan</t>
        </is>
      </c>
      <c r="G137" s="9" t="n">
        <v>0</v>
      </c>
      <c r="H137" s="9" t="n"/>
      <c r="I137" s="9" t="n"/>
      <c r="J137" s="9" t="n"/>
      <c r="K137" s="9" t="inlineStr">
        <is>
          <t>/services/navien/</t>
        </is>
      </c>
      <c r="L137" s="11" t="inlineStr">
        <is>
          <t>Navien tracked at category level only.</t>
        </is>
      </c>
    </row>
  </sheetData>
  <autoFilter ref="A1:L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60" customWidth="1" min="4" max="4"/>
    <col width="11" customWidth="1" min="5" max="5"/>
    <col width="11" customWidth="1" min="6" max="6"/>
    <col width="9" customWidth="1" min="7" max="7"/>
    <col width="8" customWidth="1" min="8" max="8"/>
  </cols>
  <sheetData>
    <row r="1" ht="30" customHeight="1">
      <c r="A1" s="8" t="inlineStr">
        <is>
          <t>Action</t>
        </is>
      </c>
      <c r="B1" s="8" t="inlineStr">
        <is>
          <t>Market</t>
        </is>
      </c>
      <c r="C1" s="8" t="inlineStr">
        <is>
          <t>Keyword</t>
        </is>
      </c>
      <c r="D1" s="8" t="inlineStr">
        <is>
          <t>Why</t>
        </is>
      </c>
      <c r="E1" s="8" t="inlineStr">
        <is>
          <t>KP volume</t>
        </is>
      </c>
      <c r="F1" s="8" t="inlineStr">
        <is>
          <t>Semrush volume</t>
        </is>
      </c>
      <c r="G1" s="8" t="inlineStr">
        <is>
          <t>Pos. 10-05</t>
        </is>
      </c>
      <c r="H1" s="8" t="inlineStr">
        <is>
          <t>Done?</t>
        </is>
      </c>
    </row>
    <row r="2">
      <c r="A2" s="10" t="inlineStr">
        <is>
          <t>Add to Semrush</t>
        </is>
      </c>
      <c r="B2" s="9" t="inlineStr">
        <is>
          <t>Surrey</t>
        </is>
      </c>
      <c r="C2" s="9" t="inlineStr">
        <is>
          <t>ac repair surrey</t>
        </is>
      </c>
      <c r="D2" s="11" t="inlineStr">
        <is>
          <t>New service / gap term</t>
        </is>
      </c>
      <c r="E2" s="9" t="n">
        <v>110</v>
      </c>
      <c r="F2" s="9" t="n"/>
      <c r="G2" s="9" t="n"/>
      <c r="H2" s="13" t="n"/>
    </row>
    <row r="3">
      <c r="A3" s="10" t="inlineStr">
        <is>
          <t>Add to Semrush</t>
        </is>
      </c>
      <c r="B3" s="9" t="inlineStr">
        <is>
          <t>Surrey</t>
        </is>
      </c>
      <c r="C3" s="9" t="inlineStr">
        <is>
          <t>hvac repair surrey</t>
        </is>
      </c>
      <c r="D3" s="11" t="inlineStr">
        <is>
          <t>New service / gap term</t>
        </is>
      </c>
      <c r="E3" s="9" t="n">
        <v>20</v>
      </c>
      <c r="F3" s="9" t="n"/>
      <c r="G3" s="9" t="n"/>
      <c r="H3" s="13" t="n"/>
    </row>
    <row r="4">
      <c r="A4" s="10" t="inlineStr">
        <is>
          <t>Add to Semrush</t>
        </is>
      </c>
      <c r="B4" s="9" t="inlineStr">
        <is>
          <t>Surrey</t>
        </is>
      </c>
      <c r="C4" s="9" t="inlineStr">
        <is>
          <t>furnace replacement surrey</t>
        </is>
      </c>
      <c r="D4" s="11" t="inlineStr">
        <is>
          <t>New service / gap term</t>
        </is>
      </c>
      <c r="E4" s="9" t="n">
        <v>20</v>
      </c>
      <c r="F4" s="9" t="n"/>
      <c r="G4" s="9" t="n"/>
      <c r="H4" s="13" t="n"/>
    </row>
    <row r="5">
      <c r="A5" s="10" t="inlineStr">
        <is>
          <t>Add to Semrush</t>
        </is>
      </c>
      <c r="B5" s="9" t="inlineStr">
        <is>
          <t>Surrey</t>
        </is>
      </c>
      <c r="C5" s="9" t="inlineStr">
        <is>
          <t>furnace maintenance surrey</t>
        </is>
      </c>
      <c r="D5" s="11" t="inlineStr">
        <is>
          <t>New service / gap term</t>
        </is>
      </c>
      <c r="E5" s="9" t="n">
        <v>10</v>
      </c>
      <c r="F5" s="9" t="n"/>
      <c r="G5" s="9" t="n"/>
      <c r="H5" s="13" t="n"/>
    </row>
    <row r="6">
      <c r="A6" s="10" t="inlineStr">
        <is>
          <t>Add to Semrush</t>
        </is>
      </c>
      <c r="B6" s="9" t="inlineStr">
        <is>
          <t>Surrey</t>
        </is>
      </c>
      <c r="C6" s="9" t="inlineStr">
        <is>
          <t>heat pump repair surrey</t>
        </is>
      </c>
      <c r="D6" s="11" t="inlineStr">
        <is>
          <t>New service / gap term</t>
        </is>
      </c>
      <c r="E6" s="9" t="n">
        <v>30</v>
      </c>
      <c r="F6" s="9" t="n"/>
      <c r="G6" s="9" t="n"/>
      <c r="H6" s="13" t="n"/>
    </row>
    <row r="7">
      <c r="A7" s="10" t="inlineStr">
        <is>
          <t>Add to Semrush</t>
        </is>
      </c>
      <c r="B7" s="9" t="inlineStr">
        <is>
          <t>Surrey</t>
        </is>
      </c>
      <c r="C7" s="9" t="inlineStr">
        <is>
          <t>hvac surrey</t>
        </is>
      </c>
      <c r="D7" s="11" t="inlineStr">
        <is>
          <t>New service / gap term</t>
        </is>
      </c>
      <c r="E7" s="9" t="n">
        <v>480</v>
      </c>
      <c r="F7" s="9" t="n"/>
      <c r="G7" s="9" t="n"/>
      <c r="H7" s="13" t="n"/>
    </row>
    <row r="8">
      <c r="A8" s="10" t="inlineStr">
        <is>
          <t>Add to Semrush</t>
        </is>
      </c>
      <c r="B8" s="9" t="inlineStr">
        <is>
          <t>Surrey</t>
        </is>
      </c>
      <c r="C8" s="9" t="inlineStr">
        <is>
          <t>water heater repair surrey</t>
        </is>
      </c>
      <c r="D8" s="11" t="inlineStr">
        <is>
          <t>New service / gap term</t>
        </is>
      </c>
      <c r="E8" s="9" t="n">
        <v>20</v>
      </c>
      <c r="F8" s="9" t="n"/>
      <c r="G8" s="9" t="n"/>
      <c r="H8" s="13" t="n"/>
    </row>
    <row r="9">
      <c r="A9" s="10" t="inlineStr">
        <is>
          <t>Add to Semrush</t>
        </is>
      </c>
      <c r="B9" s="9" t="inlineStr">
        <is>
          <t>Surrey</t>
        </is>
      </c>
      <c r="C9" s="9" t="inlineStr">
        <is>
          <t>plumber cloverdale</t>
        </is>
      </c>
      <c r="D9" s="11" t="inlineStr">
        <is>
          <t>Location-specific: client priority area</t>
        </is>
      </c>
      <c r="E9" s="9" t="n">
        <v>20</v>
      </c>
      <c r="F9" s="9" t="n"/>
      <c r="G9" s="9" t="n"/>
      <c r="H9" s="13" t="n"/>
    </row>
    <row r="10">
      <c r="A10" s="10" t="inlineStr">
        <is>
          <t>Add to Semrush</t>
        </is>
      </c>
      <c r="B10" s="9" t="inlineStr">
        <is>
          <t>Surrey</t>
        </is>
      </c>
      <c r="C10" s="9" t="inlineStr">
        <is>
          <t>plumber guildford</t>
        </is>
      </c>
      <c r="D10" s="11" t="inlineStr">
        <is>
          <t>Location-specific: client priority area</t>
        </is>
      </c>
      <c r="E10" s="9" t="n">
        <v>10</v>
      </c>
      <c r="F10" s="9" t="n"/>
      <c r="G10" s="9" t="n"/>
      <c r="H10" s="13" t="n"/>
    </row>
    <row r="11">
      <c r="A11" s="10" t="inlineStr">
        <is>
          <t>Add to Semrush</t>
        </is>
      </c>
      <c r="B11" s="9" t="inlineStr">
        <is>
          <t>Surrey</t>
        </is>
      </c>
      <c r="C11" s="9" t="inlineStr">
        <is>
          <t>cloverdale plumbing</t>
        </is>
      </c>
      <c r="D11" s="11" t="inlineStr">
        <is>
          <t>Location-specific: client priority area</t>
        </is>
      </c>
      <c r="E11" s="9" t="n"/>
      <c r="F11" s="9" t="n"/>
      <c r="G11" s="9" t="n"/>
      <c r="H11" s="13" t="n"/>
    </row>
    <row r="12">
      <c r="A12" s="10" t="inlineStr">
        <is>
          <t>Add to Semrush</t>
        </is>
      </c>
      <c r="B12" s="9" t="inlineStr">
        <is>
          <t>White Rock</t>
        </is>
      </c>
      <c r="C12" s="9" t="inlineStr">
        <is>
          <t>white rock air conditioning</t>
        </is>
      </c>
      <c r="D12" s="11" t="inlineStr">
        <is>
          <t>Mirrors the same keyword in all 3 markets</t>
        </is>
      </c>
      <c r="E12" s="9" t="n">
        <v>10</v>
      </c>
      <c r="F12" s="9" t="n"/>
      <c r="G12" s="9" t="n"/>
      <c r="H12" s="13" t="n"/>
    </row>
    <row r="13">
      <c r="A13" s="10" t="inlineStr">
        <is>
          <t>Add to Semrush</t>
        </is>
      </c>
      <c r="B13" s="9" t="inlineStr">
        <is>
          <t>White Rock</t>
        </is>
      </c>
      <c r="C13" s="9" t="inlineStr">
        <is>
          <t>ac repair white rock</t>
        </is>
      </c>
      <c r="D13" s="11" t="inlineStr">
        <is>
          <t>New service / gap term</t>
        </is>
      </c>
      <c r="E13" s="9" t="n"/>
      <c r="F13" s="9" t="n"/>
      <c r="G13" s="9" t="n"/>
      <c r="H13" s="13" t="n"/>
    </row>
    <row r="14">
      <c r="A14" s="10" t="inlineStr">
        <is>
          <t>Add to Semrush</t>
        </is>
      </c>
      <c r="B14" s="9" t="inlineStr">
        <is>
          <t>White Rock</t>
        </is>
      </c>
      <c r="C14" s="9" t="inlineStr">
        <is>
          <t>air conditioning repair white rock</t>
        </is>
      </c>
      <c r="D14" s="11" t="inlineStr">
        <is>
          <t>Mirrors the same keyword in all 3 markets</t>
        </is>
      </c>
      <c r="E14" s="9" t="n">
        <v>0</v>
      </c>
      <c r="F14" s="9" t="n"/>
      <c r="G14" s="9" t="n"/>
      <c r="H14" s="13" t="n"/>
    </row>
    <row r="15">
      <c r="A15" s="10" t="inlineStr">
        <is>
          <t>Add to Semrush</t>
        </is>
      </c>
      <c r="B15" s="9" t="inlineStr">
        <is>
          <t>White Rock</t>
        </is>
      </c>
      <c r="C15" s="9" t="inlineStr">
        <is>
          <t>hvac repair white rock</t>
        </is>
      </c>
      <c r="D15" s="11" t="inlineStr">
        <is>
          <t>New service / gap term</t>
        </is>
      </c>
      <c r="E15" s="9" t="n">
        <v>0</v>
      </c>
      <c r="F15" s="9" t="n"/>
      <c r="G15" s="9" t="n"/>
      <c r="H15" s="13" t="n"/>
    </row>
    <row r="16">
      <c r="A16" s="10" t="inlineStr">
        <is>
          <t>Add to Semrush</t>
        </is>
      </c>
      <c r="B16" s="9" t="inlineStr">
        <is>
          <t>White Rock</t>
        </is>
      </c>
      <c r="C16" s="9" t="inlineStr">
        <is>
          <t>boiler services white rock</t>
        </is>
      </c>
      <c r="D16" s="11" t="inlineStr">
        <is>
          <t>Mirrors the same keyword in all 3 markets</t>
        </is>
      </c>
      <c r="E16" s="9" t="n">
        <v>0</v>
      </c>
      <c r="F16" s="9" t="n"/>
      <c r="G16" s="9" t="n"/>
      <c r="H16" s="13" t="n"/>
    </row>
    <row r="17">
      <c r="A17" s="10" t="inlineStr">
        <is>
          <t>Add to Semrush</t>
        </is>
      </c>
      <c r="B17" s="9" t="inlineStr">
        <is>
          <t>White Rock</t>
        </is>
      </c>
      <c r="C17" s="9" t="inlineStr">
        <is>
          <t>furnace maintenance white rock</t>
        </is>
      </c>
      <c r="D17" s="11" t="inlineStr">
        <is>
          <t>New service / gap term</t>
        </is>
      </c>
      <c r="E17" s="9" t="n">
        <v>0</v>
      </c>
      <c r="F17" s="9" t="n"/>
      <c r="G17" s="9" t="n"/>
      <c r="H17" s="13" t="n"/>
    </row>
    <row r="18">
      <c r="A18" s="10" t="inlineStr">
        <is>
          <t>Add to Semrush</t>
        </is>
      </c>
      <c r="B18" s="9" t="inlineStr">
        <is>
          <t>White Rock</t>
        </is>
      </c>
      <c r="C18" s="9" t="inlineStr">
        <is>
          <t>furnace replacement white rock</t>
        </is>
      </c>
      <c r="D18" s="11" t="inlineStr">
        <is>
          <t>New service / gap term</t>
        </is>
      </c>
      <c r="E18" s="9" t="n">
        <v>0</v>
      </c>
      <c r="F18" s="9" t="n"/>
      <c r="G18" s="9" t="n"/>
      <c r="H18" s="13" t="n"/>
    </row>
    <row r="19">
      <c r="A19" s="10" t="inlineStr">
        <is>
          <t>Add to Semrush</t>
        </is>
      </c>
      <c r="B19" s="9" t="inlineStr">
        <is>
          <t>White Rock</t>
        </is>
      </c>
      <c r="C19" s="9" t="inlineStr">
        <is>
          <t>furnace services white rock</t>
        </is>
      </c>
      <c r="D19" s="11" t="inlineStr">
        <is>
          <t>Mirrors the same keyword in all 3 markets</t>
        </is>
      </c>
      <c r="E19" s="9" t="n"/>
      <c r="F19" s="9" t="n"/>
      <c r="G19" s="9" t="n"/>
      <c r="H19" s="13" t="n"/>
    </row>
    <row r="20">
      <c r="A20" s="10" t="inlineStr">
        <is>
          <t>Add to Semrush</t>
        </is>
      </c>
      <c r="B20" s="9" t="inlineStr">
        <is>
          <t>White Rock</t>
        </is>
      </c>
      <c r="C20" s="9" t="inlineStr">
        <is>
          <t>heat pump repair white rock</t>
        </is>
      </c>
      <c r="D20" s="11" t="inlineStr">
        <is>
          <t>New service / gap term</t>
        </is>
      </c>
      <c r="E20" s="9" t="n">
        <v>0</v>
      </c>
      <c r="F20" s="9" t="n"/>
      <c r="G20" s="9" t="n"/>
      <c r="H20" s="13" t="n"/>
    </row>
    <row r="21">
      <c r="A21" s="10" t="inlineStr">
        <is>
          <t>Add to Semrush</t>
        </is>
      </c>
      <c r="B21" s="9" t="inlineStr">
        <is>
          <t>White Rock</t>
        </is>
      </c>
      <c r="C21" s="9" t="inlineStr">
        <is>
          <t>hvac white rock</t>
        </is>
      </c>
      <c r="D21" s="11" t="inlineStr">
        <is>
          <t>New service / gap term</t>
        </is>
      </c>
      <c r="E21" s="9" t="n">
        <v>10</v>
      </c>
      <c r="F21" s="9" t="n"/>
      <c r="G21" s="9" t="n"/>
      <c r="H21" s="13" t="n"/>
    </row>
    <row r="22">
      <c r="A22" s="10" t="inlineStr">
        <is>
          <t>Add to Semrush</t>
        </is>
      </c>
      <c r="B22" s="9" t="inlineStr">
        <is>
          <t>White Rock</t>
        </is>
      </c>
      <c r="C22" s="9" t="inlineStr">
        <is>
          <t>hot water tank installation white rock</t>
        </is>
      </c>
      <c r="D22" s="11" t="inlineStr">
        <is>
          <t>Mirrors the same keyword in all 3 markets</t>
        </is>
      </c>
      <c r="E22" s="9" t="n">
        <v>0</v>
      </c>
      <c r="F22" s="9" t="n"/>
      <c r="G22" s="9" t="n"/>
      <c r="H22" s="13" t="n"/>
    </row>
    <row r="23">
      <c r="A23" s="10" t="inlineStr">
        <is>
          <t>Add to Semrush</t>
        </is>
      </c>
      <c r="B23" s="9" t="inlineStr">
        <is>
          <t>White Rock</t>
        </is>
      </c>
      <c r="C23" s="9" t="inlineStr">
        <is>
          <t>water heater repair white rock</t>
        </is>
      </c>
      <c r="D23" s="11" t="inlineStr">
        <is>
          <t>New service / gap term</t>
        </is>
      </c>
      <c r="E23" s="9" t="n">
        <v>0</v>
      </c>
      <c r="F23" s="9" t="n"/>
      <c r="G23" s="9" t="n"/>
      <c r="H23" s="13" t="n"/>
    </row>
    <row r="24">
      <c r="A24" s="10" t="inlineStr">
        <is>
          <t>Add to Semrush</t>
        </is>
      </c>
      <c r="B24" s="9" t="inlineStr">
        <is>
          <t>White Rock</t>
        </is>
      </c>
      <c r="C24" s="9" t="inlineStr">
        <is>
          <t>best plumber white rock</t>
        </is>
      </c>
      <c r="D24" s="11" t="inlineStr">
        <is>
          <t>Mirrors the same keyword in all 3 markets</t>
        </is>
      </c>
      <c r="E24" s="9" t="n">
        <v>0</v>
      </c>
      <c r="F24" s="9" t="n"/>
      <c r="G24" s="9" t="n"/>
      <c r="H24" s="13" t="n"/>
    </row>
    <row r="25">
      <c r="A25" s="10" t="inlineStr">
        <is>
          <t>Add to Semrush</t>
        </is>
      </c>
      <c r="B25" s="9" t="inlineStr">
        <is>
          <t>White Rock</t>
        </is>
      </c>
      <c r="C25" s="9" t="inlineStr">
        <is>
          <t>plumbing company white rock</t>
        </is>
      </c>
      <c r="D25" s="11" t="inlineStr">
        <is>
          <t>Mirrors the same keyword in all 3 markets</t>
        </is>
      </c>
      <c r="E25" s="9" t="n">
        <v>0</v>
      </c>
      <c r="F25" s="9" t="n"/>
      <c r="G25" s="9" t="n"/>
      <c r="H25" s="13" t="n"/>
    </row>
    <row r="26">
      <c r="A26" s="10" t="inlineStr">
        <is>
          <t>Add to Semrush</t>
        </is>
      </c>
      <c r="B26" s="9" t="inlineStr">
        <is>
          <t>White Rock</t>
        </is>
      </c>
      <c r="C26" s="9" t="inlineStr">
        <is>
          <t>tankless water heater installation white rock</t>
        </is>
      </c>
      <c r="D26" s="11" t="inlineStr">
        <is>
          <t>Mirrors the same keyword in all 3 markets</t>
        </is>
      </c>
      <c r="E26" s="9" t="n">
        <v>0</v>
      </c>
      <c r="F26" s="9" t="n"/>
      <c r="G26" s="9" t="n"/>
      <c r="H26" s="13" t="n"/>
    </row>
    <row r="27">
      <c r="A27" s="10" t="inlineStr">
        <is>
          <t>Add to Semrush</t>
        </is>
      </c>
      <c r="B27" s="9" t="inlineStr">
        <is>
          <t>White Rock</t>
        </is>
      </c>
      <c r="C27" s="9" t="inlineStr">
        <is>
          <t>tankless water heater repair white rock</t>
        </is>
      </c>
      <c r="D27" s="11" t="inlineStr">
        <is>
          <t>Mirrors the same keyword in all 3 markets</t>
        </is>
      </c>
      <c r="E27" s="9" t="n">
        <v>0</v>
      </c>
      <c r="F27" s="9" t="n"/>
      <c r="G27" s="9" t="n"/>
      <c r="H27" s="13" t="n"/>
    </row>
    <row r="28">
      <c r="A28" s="10" t="inlineStr">
        <is>
          <t>Add to Semrush</t>
        </is>
      </c>
      <c r="B28" s="9" t="inlineStr">
        <is>
          <t>Langley</t>
        </is>
      </c>
      <c r="C28" s="9" t="inlineStr">
        <is>
          <t>ac repair langley</t>
        </is>
      </c>
      <c r="D28" s="11" t="inlineStr">
        <is>
          <t>New service / gap term</t>
        </is>
      </c>
      <c r="E28" s="9" t="n">
        <v>40</v>
      </c>
      <c r="F28" s="9" t="n"/>
      <c r="G28" s="9" t="n"/>
      <c r="H28" s="13" t="n"/>
    </row>
    <row r="29">
      <c r="A29" s="10" t="inlineStr">
        <is>
          <t>Add to Semrush</t>
        </is>
      </c>
      <c r="B29" s="9" t="inlineStr">
        <is>
          <t>Langley</t>
        </is>
      </c>
      <c r="C29" s="9" t="inlineStr">
        <is>
          <t>hvac repair langley</t>
        </is>
      </c>
      <c r="D29" s="11" t="inlineStr">
        <is>
          <t>New service / gap term</t>
        </is>
      </c>
      <c r="E29" s="9" t="n">
        <v>10</v>
      </c>
      <c r="F29" s="9" t="n"/>
      <c r="G29" s="9" t="n"/>
      <c r="H29" s="13" t="n"/>
    </row>
    <row r="30">
      <c r="A30" s="10" t="inlineStr">
        <is>
          <t>Add to Semrush</t>
        </is>
      </c>
      <c r="B30" s="9" t="inlineStr">
        <is>
          <t>Langley</t>
        </is>
      </c>
      <c r="C30" s="9" t="inlineStr">
        <is>
          <t>langley air conditioning</t>
        </is>
      </c>
      <c r="D30" s="11" t="inlineStr">
        <is>
          <t>Mirrors the same keyword in all 3 markets</t>
        </is>
      </c>
      <c r="E30" s="9" t="n"/>
      <c r="F30" s="9" t="n"/>
      <c r="G30" s="9" t="n"/>
      <c r="H30" s="13" t="n"/>
    </row>
    <row r="31">
      <c r="A31" s="10" t="inlineStr">
        <is>
          <t>Add to Semrush</t>
        </is>
      </c>
      <c r="B31" s="9" t="inlineStr">
        <is>
          <t>Langley</t>
        </is>
      </c>
      <c r="C31" s="9" t="inlineStr">
        <is>
          <t>furnace replacement langley</t>
        </is>
      </c>
      <c r="D31" s="11" t="inlineStr">
        <is>
          <t>New service / gap term</t>
        </is>
      </c>
      <c r="E31" s="9" t="n">
        <v>50</v>
      </c>
      <c r="F31" s="9" t="n"/>
      <c r="G31" s="9" t="n"/>
      <c r="H31" s="13" t="n"/>
    </row>
    <row r="32">
      <c r="A32" s="10" t="inlineStr">
        <is>
          <t>Add to Semrush</t>
        </is>
      </c>
      <c r="B32" s="9" t="inlineStr">
        <is>
          <t>Langley</t>
        </is>
      </c>
      <c r="C32" s="9" t="inlineStr">
        <is>
          <t>furnace maintenance langley</t>
        </is>
      </c>
      <c r="D32" s="11" t="inlineStr">
        <is>
          <t>New service / gap term</t>
        </is>
      </c>
      <c r="E32" s="9" t="n">
        <v>40</v>
      </c>
      <c r="F32" s="9" t="n"/>
      <c r="G32" s="9" t="n"/>
      <c r="H32" s="13" t="n"/>
    </row>
    <row r="33">
      <c r="A33" s="10" t="inlineStr">
        <is>
          <t>Add to Semrush</t>
        </is>
      </c>
      <c r="B33" s="9" t="inlineStr">
        <is>
          <t>Langley</t>
        </is>
      </c>
      <c r="C33" s="9" t="inlineStr">
        <is>
          <t>heat pump repair langley</t>
        </is>
      </c>
      <c r="D33" s="11" t="inlineStr">
        <is>
          <t>New service / gap term</t>
        </is>
      </c>
      <c r="E33" s="9" t="n">
        <v>10</v>
      </c>
      <c r="F33" s="9" t="n"/>
      <c r="G33" s="9" t="n"/>
      <c r="H33" s="13" t="n"/>
    </row>
    <row r="34">
      <c r="A34" s="10" t="inlineStr">
        <is>
          <t>Add to Semrush</t>
        </is>
      </c>
      <c r="B34" s="9" t="inlineStr">
        <is>
          <t>Langley</t>
        </is>
      </c>
      <c r="C34" s="9" t="inlineStr">
        <is>
          <t>hvac langley</t>
        </is>
      </c>
      <c r="D34" s="11" t="inlineStr">
        <is>
          <t>New service / gap term</t>
        </is>
      </c>
      <c r="E34" s="9" t="n">
        <v>210</v>
      </c>
      <c r="F34" s="9" t="n"/>
      <c r="G34" s="9" t="n"/>
      <c r="H34" s="13" t="n"/>
    </row>
    <row r="35">
      <c r="A35" s="10" t="inlineStr">
        <is>
          <t>Add to Semrush</t>
        </is>
      </c>
      <c r="B35" s="9" t="inlineStr">
        <is>
          <t>Langley</t>
        </is>
      </c>
      <c r="C35" s="9" t="inlineStr">
        <is>
          <t>water heater repair langley</t>
        </is>
      </c>
      <c r="D35" s="11" t="inlineStr">
        <is>
          <t>New service / gap term</t>
        </is>
      </c>
      <c r="E35" s="9" t="n">
        <v>10</v>
      </c>
      <c r="F35" s="9" t="n"/>
      <c r="G35" s="9" t="n"/>
      <c r="H35" s="13" t="n"/>
    </row>
    <row r="36">
      <c r="A36" s="10" t="inlineStr">
        <is>
          <t>Add to Semrush</t>
        </is>
      </c>
      <c r="B36" s="9" t="inlineStr">
        <is>
          <t>Langley</t>
        </is>
      </c>
      <c r="C36" s="9" t="inlineStr">
        <is>
          <t>plumber fort langley</t>
        </is>
      </c>
      <c r="D36" s="11" t="inlineStr">
        <is>
          <t>Location-specific: client priority area</t>
        </is>
      </c>
      <c r="E36" s="9" t="n">
        <v>10</v>
      </c>
      <c r="F36" s="9" t="n"/>
      <c r="G36" s="9" t="n"/>
      <c r="H36" s="13" t="n"/>
    </row>
    <row r="37">
      <c r="A37" s="10" t="inlineStr">
        <is>
          <t>Add to Semrush</t>
        </is>
      </c>
      <c r="B37" s="9" t="inlineStr">
        <is>
          <t>Langley</t>
        </is>
      </c>
      <c r="C37" s="9" t="inlineStr">
        <is>
          <t>plumber willoughby</t>
        </is>
      </c>
      <c r="D37" s="11" t="inlineStr">
        <is>
          <t>Location-specific: client priority area</t>
        </is>
      </c>
      <c r="E37" s="9" t="n">
        <v>10</v>
      </c>
      <c r="F37" s="9" t="n"/>
      <c r="G37" s="9" t="n"/>
      <c r="H37" s="13" t="n"/>
    </row>
    <row r="38">
      <c r="A38" s="10" t="inlineStr">
        <is>
          <t>Add to Semrush</t>
        </is>
      </c>
      <c r="B38" s="9" t="inlineStr">
        <is>
          <t>All (no location)</t>
        </is>
      </c>
      <c r="C38" s="9" t="inlineStr">
        <is>
          <t>navien tankless repair</t>
        </is>
      </c>
      <c r="D38" s="11" t="inlineStr">
        <is>
          <t>National term; already ranks about #10-14 on /services/navien/</t>
        </is>
      </c>
      <c r="E38" s="9" t="n">
        <v>1600</v>
      </c>
      <c r="F38" s="9" t="n"/>
      <c r="G38" s="9" t="n"/>
      <c r="H38" s="13" t="n"/>
    </row>
    <row r="39">
      <c r="A39" s="10" t="inlineStr">
        <is>
          <t>Add to Semrush</t>
        </is>
      </c>
      <c r="B39" s="9" t="inlineStr">
        <is>
          <t>All (no location)</t>
        </is>
      </c>
      <c r="C39" s="9" t="inlineStr">
        <is>
          <t>navien tankless water heater repair</t>
        </is>
      </c>
      <c r="D39" s="11" t="inlineStr">
        <is>
          <t>National term; already ranks about #10-14 on /services/navien/</t>
        </is>
      </c>
      <c r="E39" s="9" t="n">
        <v>1600</v>
      </c>
      <c r="F39" s="9" t="n"/>
      <c r="G39" s="9" t="n"/>
      <c r="H39" s="13" t="n"/>
    </row>
    <row r="40">
      <c r="A40" s="10" t="inlineStr">
        <is>
          <t>Add to Semrush</t>
        </is>
      </c>
      <c r="B40" s="9" t="inlineStr">
        <is>
          <t>All (no location)</t>
        </is>
      </c>
      <c r="C40" s="9" t="inlineStr">
        <is>
          <t>navien service</t>
        </is>
      </c>
      <c r="D40" s="11" t="inlineStr">
        <is>
          <t>National term; already ranks about #10-14 on /services/navien/</t>
        </is>
      </c>
      <c r="E40" s="9" t="n">
        <v>20</v>
      </c>
      <c r="F40" s="9" t="n"/>
      <c r="G40" s="9" t="n"/>
      <c r="H40" s="13" t="n"/>
    </row>
    <row r="41">
      <c r="A41" s="10" t="inlineStr">
        <is>
          <t>Add to Semrush</t>
        </is>
      </c>
      <c r="B41" s="9" t="inlineStr">
        <is>
          <t>All (no location)</t>
        </is>
      </c>
      <c r="C41" s="9" t="inlineStr">
        <is>
          <t>navien error codes</t>
        </is>
      </c>
      <c r="D41" s="11" t="inlineStr">
        <is>
          <t>Zero-volume niche term kept as an AEO opportunity (client rule)</t>
        </is>
      </c>
      <c r="E41" s="9" t="n">
        <v>0</v>
      </c>
      <c r="F41" s="9" t="n"/>
      <c r="G41" s="9" t="n"/>
      <c r="H41" s="13" t="n"/>
    </row>
    <row r="42">
      <c r="A42" s="14" t="inlineStr">
        <is>
          <t>Remove from Semrush</t>
        </is>
      </c>
      <c r="B42" s="9" t="inlineStr">
        <is>
          <t>Surrey</t>
        </is>
      </c>
      <c r="C42" s="9" t="inlineStr">
        <is>
          <t>air conditioning services surrey</t>
        </is>
      </c>
      <c r="D42" s="11" t="inlineStr">
        <is>
          <t>Low volume: 3 markets combined = 20/mo (under 30)</t>
        </is>
      </c>
      <c r="E42" s="9" t="n">
        <v>10</v>
      </c>
      <c r="F42" s="9" t="n">
        <v>10</v>
      </c>
      <c r="G42" s="9" t="n">
        <v>54</v>
      </c>
      <c r="H42" s="13" t="n"/>
    </row>
    <row r="43">
      <c r="A43" s="14" t="inlineStr">
        <is>
          <t>Remove from Semrush</t>
        </is>
      </c>
      <c r="B43" s="9" t="inlineStr">
        <is>
          <t>Surrey</t>
        </is>
      </c>
      <c r="C43" s="9" t="inlineStr">
        <is>
          <t>best plumbers in surrey</t>
        </is>
      </c>
      <c r="D43" s="11" t="inlineStr">
        <is>
          <t>Low volume: 3 markets combined = 20/mo (under 30)</t>
        </is>
      </c>
      <c r="E43" s="9" t="n"/>
      <c r="F43" s="9" t="n">
        <v>20</v>
      </c>
      <c r="G43" s="9" t="n">
        <v>7</v>
      </c>
      <c r="H43" s="13" t="n"/>
    </row>
    <row r="44">
      <c r="A44" s="14" t="inlineStr">
        <is>
          <t>Remove from Semrush</t>
        </is>
      </c>
      <c r="B44" s="9" t="inlineStr">
        <is>
          <t>Surrey</t>
        </is>
      </c>
      <c r="C44" s="9" t="inlineStr">
        <is>
          <t>gas line installation services surrey</t>
        </is>
      </c>
      <c r="D44" s="11" t="inlineStr">
        <is>
          <t>Low volume: 3 markets combined = 10/mo (under 30)</t>
        </is>
      </c>
      <c r="E44" s="9" t="n">
        <v>10</v>
      </c>
      <c r="F44" s="9" t="n">
        <v>10</v>
      </c>
      <c r="G44" s="9" t="n">
        <v>4</v>
      </c>
      <c r="H44" s="13" t="n"/>
    </row>
    <row r="45">
      <c r="A45" s="14" t="inlineStr">
        <is>
          <t>Remove from Semrush</t>
        </is>
      </c>
      <c r="B45" s="9" t="inlineStr">
        <is>
          <t>Surrey</t>
        </is>
      </c>
      <c r="C45" s="9" t="inlineStr">
        <is>
          <t>heating services surrey</t>
        </is>
      </c>
      <c r="D45" s="11" t="inlineStr">
        <is>
          <t>Low volume: 3 markets combined = 20/mo (under 30)</t>
        </is>
      </c>
      <c r="E45" s="9" t="n">
        <v>10</v>
      </c>
      <c r="F45" s="9" t="n">
        <v>10</v>
      </c>
      <c r="G45" s="9" t="n">
        <v>17</v>
      </c>
      <c r="H45" s="13" t="n"/>
    </row>
    <row r="46">
      <c r="A46" s="14" t="inlineStr">
        <is>
          <t>Remove from Semrush</t>
        </is>
      </c>
      <c r="B46" s="9" t="inlineStr">
        <is>
          <t>Surrey</t>
        </is>
      </c>
      <c r="C46" s="9" t="inlineStr">
        <is>
          <t>plumbing and heating company surrey</t>
        </is>
      </c>
      <c r="D46" s="11" t="inlineStr">
        <is>
          <t>Low volume: 3 markets combined = 20/mo (under 30)</t>
        </is>
      </c>
      <c r="E46" s="9" t="n">
        <v>10</v>
      </c>
      <c r="F46" s="9" t="n">
        <v>10</v>
      </c>
      <c r="G46" s="9" t="n">
        <v>4</v>
      </c>
      <c r="H46" s="13" t="n"/>
    </row>
    <row r="47">
      <c r="A47" s="14" t="inlineStr">
        <is>
          <t>Remove from Semrush</t>
        </is>
      </c>
      <c r="B47" s="9" t="inlineStr">
        <is>
          <t>Surrey</t>
        </is>
      </c>
      <c r="C47" s="9" t="inlineStr">
        <is>
          <t>tankless water heater maintenance surrey</t>
        </is>
      </c>
      <c r="D47" s="11" t="inlineStr">
        <is>
          <t>Low volume: 3 markets combined = 20/mo (under 30)</t>
        </is>
      </c>
      <c r="E47" s="9" t="n">
        <v>10</v>
      </c>
      <c r="F47" s="9" t="n">
        <v>10</v>
      </c>
      <c r="G47" s="9" t="n">
        <v>11</v>
      </c>
      <c r="H47" s="13" t="n"/>
    </row>
    <row r="48">
      <c r="A48" s="14" t="inlineStr">
        <is>
          <t>Remove from Semrush</t>
        </is>
      </c>
      <c r="B48" s="9" t="inlineStr">
        <is>
          <t>Langley</t>
        </is>
      </c>
      <c r="C48" s="9" t="inlineStr">
        <is>
          <t>air conditioning services langley</t>
        </is>
      </c>
      <c r="D48" s="11" t="inlineStr">
        <is>
          <t>Low volume: 3 markets combined = 20/mo (under 30)</t>
        </is>
      </c>
      <c r="E48" s="9" t="n">
        <v>10</v>
      </c>
      <c r="F48" s="9" t="n">
        <v>10</v>
      </c>
      <c r="G48" s="9" t="n"/>
      <c r="H48" s="13" t="n"/>
    </row>
    <row r="49">
      <c r="A49" s="14" t="inlineStr">
        <is>
          <t>Remove from Semrush</t>
        </is>
      </c>
      <c r="B49" s="9" t="inlineStr">
        <is>
          <t>Langley</t>
        </is>
      </c>
      <c r="C49" s="9" t="inlineStr">
        <is>
          <t>heating services langley</t>
        </is>
      </c>
      <c r="D49" s="11" t="inlineStr">
        <is>
          <t>Low volume: 3 markets combined = 20/mo (under 30)</t>
        </is>
      </c>
      <c r="E49" s="9" t="n">
        <v>10</v>
      </c>
      <c r="F49" s="9" t="n">
        <v>10</v>
      </c>
      <c r="G49" s="9" t="n">
        <v>66</v>
      </c>
      <c r="H49" s="13" t="n"/>
    </row>
    <row r="50">
      <c r="A50" s="14" t="inlineStr">
        <is>
          <t>Remove from Semrush</t>
        </is>
      </c>
      <c r="B50" s="9" t="inlineStr">
        <is>
          <t>Langley</t>
        </is>
      </c>
      <c r="C50" s="9" t="inlineStr">
        <is>
          <t>plumbing and heating company langley</t>
        </is>
      </c>
      <c r="D50" s="11" t="inlineStr">
        <is>
          <t>Low volume: 3 markets combined = 20/mo (under 30)</t>
        </is>
      </c>
      <c r="E50" s="9" t="n">
        <v>10</v>
      </c>
      <c r="F50" s="9" t="n">
        <v>10</v>
      </c>
      <c r="G50" s="9" t="n"/>
      <c r="H50" s="13" t="n"/>
    </row>
    <row r="51">
      <c r="A51" s="14" t="inlineStr">
        <is>
          <t>Remove from Semrush</t>
        </is>
      </c>
      <c r="B51" s="9" t="inlineStr">
        <is>
          <t>Langley</t>
        </is>
      </c>
      <c r="C51" s="9" t="inlineStr">
        <is>
          <t>tankless water heater maintenance langley</t>
        </is>
      </c>
      <c r="D51" s="11" t="inlineStr">
        <is>
          <t>Low volume: 3 markets combined = 20/mo (under 30)</t>
        </is>
      </c>
      <c r="E51" s="9" t="n">
        <v>10</v>
      </c>
      <c r="F51" s="9" t="n">
        <v>10</v>
      </c>
      <c r="G51" s="9" t="n">
        <v>34</v>
      </c>
      <c r="H51" s="13" t="n"/>
    </row>
    <row r="52">
      <c r="A52" s="14" t="inlineStr">
        <is>
          <t>Remove from Semrush</t>
        </is>
      </c>
      <c r="B52" s="9" t="inlineStr">
        <is>
          <t>All (no location)</t>
        </is>
      </c>
      <c r="C52" s="9" t="inlineStr">
        <is>
          <t>fortis rebates</t>
        </is>
      </c>
      <c r="D52" s="11" t="inlineStr">
        <is>
          <t>Informational, not a service; FortisBC co-op dropped 2025-09-02. Keep only if the rebate page is a deliberate lead magnet (confirm with Andrew).</t>
        </is>
      </c>
      <c r="E52" s="9" t="n">
        <v>1000</v>
      </c>
      <c r="F52" s="9" t="n">
        <v>2400</v>
      </c>
      <c r="G52" s="9" t="n">
        <v>59</v>
      </c>
      <c r="H52" s="13" t="n"/>
    </row>
    <row r="53">
      <c r="A53" s="14" t="inlineStr">
        <is>
          <t>Remove from Semrush</t>
        </is>
      </c>
      <c r="B53" s="9" t="inlineStr">
        <is>
          <t>Abbotsford</t>
        </is>
      </c>
      <c r="C53" s="9" t="inlineStr">
        <is>
          <t>boiler repair abbotsford</t>
        </is>
      </c>
      <c r="D53" s="11" t="inlineStr">
        <is>
          <t>Abbotsford is no longer served (Client Overview, Sept 2026)</t>
        </is>
      </c>
      <c r="E53" s="9" t="n">
        <v>10</v>
      </c>
      <c r="F53" s="9" t="n">
        <v>10</v>
      </c>
      <c r="G53" s="9" t="n">
        <v>46</v>
      </c>
      <c r="H53" s="13" t="n"/>
    </row>
    <row r="54">
      <c r="A54" s="14" t="inlineStr">
        <is>
          <t>Remove from Semrush</t>
        </is>
      </c>
      <c r="B54" s="9" t="inlineStr">
        <is>
          <t>Abbotsford</t>
        </is>
      </c>
      <c r="C54" s="9" t="inlineStr">
        <is>
          <t>furnace abbotsford</t>
        </is>
      </c>
      <c r="D54" s="11" t="inlineStr">
        <is>
          <t>Abbotsford is no longer served (Client Overview, Sept 2026)</t>
        </is>
      </c>
      <c r="E54" s="9" t="n">
        <v>10</v>
      </c>
      <c r="F54" s="9" t="n">
        <v>20</v>
      </c>
      <c r="G54" s="9" t="n"/>
      <c r="H54" s="13" t="n"/>
    </row>
    <row r="55">
      <c r="A55" s="14" t="inlineStr">
        <is>
          <t>Remove from Semrush</t>
        </is>
      </c>
      <c r="B55" s="9" t="inlineStr">
        <is>
          <t>Abbotsford</t>
        </is>
      </c>
      <c r="C55" s="9" t="inlineStr">
        <is>
          <t>furnace maintenance abbotsford</t>
        </is>
      </c>
      <c r="D55" s="11" t="inlineStr">
        <is>
          <t>Abbotsford is no longer served (Client Overview, Sept 2026)</t>
        </is>
      </c>
      <c r="E55" s="9" t="n">
        <v>10</v>
      </c>
      <c r="F55" s="9" t="n">
        <v>10</v>
      </c>
      <c r="G55" s="9" t="n"/>
      <c r="H55" s="13" t="n"/>
    </row>
    <row r="56">
      <c r="A56" s="14" t="inlineStr">
        <is>
          <t>Remove from Semrush</t>
        </is>
      </c>
      <c r="B56" s="9" t="inlineStr">
        <is>
          <t>Abbotsford</t>
        </is>
      </c>
      <c r="C56" s="9" t="inlineStr">
        <is>
          <t>furnace repair abbotsford</t>
        </is>
      </c>
      <c r="D56" s="11" t="inlineStr">
        <is>
          <t>Abbotsford is no longer served (Client Overview, Sept 2026)</t>
        </is>
      </c>
      <c r="E56" s="9" t="n">
        <v>90</v>
      </c>
      <c r="F56" s="9" t="n">
        <v>170</v>
      </c>
      <c r="G56" s="9" t="n"/>
      <c r="H56" s="13" t="n"/>
    </row>
    <row r="57">
      <c r="A57" s="14" t="inlineStr">
        <is>
          <t>Remove from Semrush</t>
        </is>
      </c>
      <c r="B57" s="9" t="inlineStr">
        <is>
          <t>Abbotsford</t>
        </is>
      </c>
      <c r="C57" s="9" t="inlineStr">
        <is>
          <t>hot water tank abbotsford</t>
        </is>
      </c>
      <c r="D57" s="11" t="inlineStr">
        <is>
          <t>Abbotsford is no longer served (Client Overview, Sept 2026)</t>
        </is>
      </c>
      <c r="E57" s="9" t="n">
        <v>20</v>
      </c>
      <c r="F57" s="9" t="n">
        <v>20</v>
      </c>
      <c r="G57" s="9" t="n"/>
      <c r="H57" s="13" t="n"/>
    </row>
    <row r="58">
      <c r="A58" s="14" t="inlineStr">
        <is>
          <t>Remove from Semrush</t>
        </is>
      </c>
      <c r="B58" s="9" t="inlineStr">
        <is>
          <t>Abbotsford</t>
        </is>
      </c>
      <c r="C58" s="9" t="inlineStr">
        <is>
          <t>plumber abbotsford</t>
        </is>
      </c>
      <c r="D58" s="11" t="inlineStr">
        <is>
          <t>Abbotsford is no longer served (Client Overview, Sept 2026)</t>
        </is>
      </c>
      <c r="E58" s="9" t="n">
        <v>880</v>
      </c>
      <c r="F58" s="9" t="n">
        <v>720</v>
      </c>
      <c r="G58" s="9" t="n"/>
      <c r="H58" s="13" t="n"/>
    </row>
  </sheetData>
  <autoFilter ref="A1:H58"/>
  <dataValidations count="1">
    <dataValidation sqref="H2:H5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60" customWidth="1" min="4" max="4"/>
    <col width="40" customWidth="1" min="5" max="5"/>
    <col width="11" customWidth="1" min="6" max="6"/>
    <col width="11" customWidth="1" min="7" max="7"/>
    <col width="9" customWidth="1" min="8" max="8"/>
    <col width="40" customWidth="1" min="9" max="9"/>
  </cols>
  <sheetData>
    <row r="1" ht="30" customHeight="1">
      <c r="A1" s="8" t="inlineStr">
        <is>
          <t>Status</t>
        </is>
      </c>
      <c r="B1" s="8" t="inlineStr">
        <is>
          <t>Market</t>
        </is>
      </c>
      <c r="C1" s="8" t="inlineStr">
        <is>
          <t>Keyword</t>
        </is>
      </c>
      <c r="D1" s="8" t="inlineStr">
        <is>
          <t>Reason</t>
        </is>
      </c>
      <c r="E1" s="8" t="inlineStr">
        <is>
          <t>Source</t>
        </is>
      </c>
      <c r="F1" s="8" t="inlineStr">
        <is>
          <t>KP volume</t>
        </is>
      </c>
      <c r="G1" s="8" t="inlineStr">
        <is>
          <t>Semrush volume</t>
        </is>
      </c>
      <c r="H1" s="8" t="inlineStr">
        <is>
          <t>Pos. 10-05</t>
        </is>
      </c>
      <c r="I1" s="8" t="inlineStr">
        <is>
          <t>Current ranking URL</t>
        </is>
      </c>
    </row>
    <row r="2">
      <c r="A2" s="14" t="inlineStr">
        <is>
          <t>Remove</t>
        </is>
      </c>
      <c r="B2" s="9" t="inlineStr">
        <is>
          <t>Surrey</t>
        </is>
      </c>
      <c r="C2" s="9" t="inlineStr">
        <is>
          <t>air conditioning services surrey</t>
        </is>
      </c>
      <c r="D2" s="11" t="inlineStr">
        <is>
          <t>Low volume: 3 markets combined = 20/mo (under 30)</t>
        </is>
      </c>
      <c r="E2" s="11" t="inlineStr">
        <is>
          <t>Semrush tracking (project 2824033)</t>
        </is>
      </c>
      <c r="F2" s="9" t="n">
        <v>10</v>
      </c>
      <c r="G2" s="9" t="n">
        <v>10</v>
      </c>
      <c r="H2" s="9" t="n">
        <v>54</v>
      </c>
      <c r="I2" s="9" t="inlineStr">
        <is>
          <t>/services/heating-cooling/air-conditioning/</t>
        </is>
      </c>
    </row>
    <row r="3">
      <c r="A3" s="14" t="inlineStr">
        <is>
          <t>Remove</t>
        </is>
      </c>
      <c r="B3" s="9" t="inlineStr">
        <is>
          <t>Surrey</t>
        </is>
      </c>
      <c r="C3" s="9" t="inlineStr">
        <is>
          <t>best plumbers in surrey</t>
        </is>
      </c>
      <c r="D3" s="11" t="inlineStr">
        <is>
          <t>Low volume: 3 markets combined = 20/mo (under 30)</t>
        </is>
      </c>
      <c r="E3" s="11" t="inlineStr">
        <is>
          <t>Semrush tracking (project 2824033)</t>
        </is>
      </c>
      <c r="F3" s="9" t="n"/>
      <c r="G3" s="9" t="n">
        <v>20</v>
      </c>
      <c r="H3" s="9" t="n">
        <v>7</v>
      </c>
      <c r="I3" s="9" t="inlineStr">
        <is>
          <t>/</t>
        </is>
      </c>
    </row>
    <row r="4">
      <c r="A4" s="14" t="inlineStr">
        <is>
          <t>Remove</t>
        </is>
      </c>
      <c r="B4" s="9" t="inlineStr">
        <is>
          <t>Surrey</t>
        </is>
      </c>
      <c r="C4" s="9" t="inlineStr">
        <is>
          <t>gas line installation services surrey</t>
        </is>
      </c>
      <c r="D4" s="11" t="inlineStr">
        <is>
          <t>Low volume: 3 markets combined = 10/mo (under 30)</t>
        </is>
      </c>
      <c r="E4" s="11" t="inlineStr">
        <is>
          <t>Semrush tracking (project 2824033)</t>
        </is>
      </c>
      <c r="F4" s="9" t="n">
        <v>10</v>
      </c>
      <c r="G4" s="9" t="n">
        <v>10</v>
      </c>
      <c r="H4" s="9" t="n">
        <v>4</v>
      </c>
      <c r="I4" s="9" t="inlineStr">
        <is>
          <t>/services/gas-fitting/</t>
        </is>
      </c>
    </row>
    <row r="5">
      <c r="A5" s="14" t="inlineStr">
        <is>
          <t>Remove</t>
        </is>
      </c>
      <c r="B5" s="9" t="inlineStr">
        <is>
          <t>Surrey</t>
        </is>
      </c>
      <c r="C5" s="9" t="inlineStr">
        <is>
          <t>heating services surrey</t>
        </is>
      </c>
      <c r="D5" s="11" t="inlineStr">
        <is>
          <t>Low volume: 3 markets combined = 20/mo (under 30)</t>
        </is>
      </c>
      <c r="E5" s="11" t="inlineStr">
        <is>
          <t>Semrush tracking (project 2824033)</t>
        </is>
      </c>
      <c r="F5" s="9" t="n">
        <v>10</v>
      </c>
      <c r="G5" s="9" t="n">
        <v>10</v>
      </c>
      <c r="H5" s="9" t="n">
        <v>17</v>
      </c>
      <c r="I5" s="9" t="inlineStr">
        <is>
          <t>/</t>
        </is>
      </c>
    </row>
    <row r="6">
      <c r="A6" s="14" t="inlineStr">
        <is>
          <t>Remove</t>
        </is>
      </c>
      <c r="B6" s="9" t="inlineStr">
        <is>
          <t>Surrey</t>
        </is>
      </c>
      <c r="C6" s="9" t="inlineStr">
        <is>
          <t>plumbing and heating company surrey</t>
        </is>
      </c>
      <c r="D6" s="11" t="inlineStr">
        <is>
          <t>Low volume: 3 markets combined = 20/mo (under 30)</t>
        </is>
      </c>
      <c r="E6" s="11" t="inlineStr">
        <is>
          <t>Semrush tracking (project 2824033)</t>
        </is>
      </c>
      <c r="F6" s="9" t="n">
        <v>10</v>
      </c>
      <c r="G6" s="9" t="n">
        <v>10</v>
      </c>
      <c r="H6" s="9" t="n">
        <v>4</v>
      </c>
      <c r="I6" s="9" t="inlineStr">
        <is>
          <t>/</t>
        </is>
      </c>
    </row>
    <row r="7">
      <c r="A7" s="14" t="inlineStr">
        <is>
          <t>Remove</t>
        </is>
      </c>
      <c r="B7" s="9" t="inlineStr">
        <is>
          <t>Surrey</t>
        </is>
      </c>
      <c r="C7" s="9" t="inlineStr">
        <is>
          <t>tankless water heater maintenance surrey</t>
        </is>
      </c>
      <c r="D7" s="11" t="inlineStr">
        <is>
          <t>Low volume: 3 markets combined = 20/mo (under 30)</t>
        </is>
      </c>
      <c r="E7" s="11" t="inlineStr">
        <is>
          <t>Semrush tracking (project 2824033)</t>
        </is>
      </c>
      <c r="F7" s="9" t="n">
        <v>10</v>
      </c>
      <c r="G7" s="9" t="n">
        <v>10</v>
      </c>
      <c r="H7" s="9" t="n">
        <v>11</v>
      </c>
      <c r="I7" s="9" t="inlineStr">
        <is>
          <t>/services/plumbing/tankless-water-heaters/</t>
        </is>
      </c>
    </row>
    <row r="8">
      <c r="A8" s="14" t="inlineStr">
        <is>
          <t>Remove</t>
        </is>
      </c>
      <c r="B8" s="9" t="inlineStr">
        <is>
          <t>Langley</t>
        </is>
      </c>
      <c r="C8" s="9" t="inlineStr">
        <is>
          <t>air conditioning services langley</t>
        </is>
      </c>
      <c r="D8" s="11" t="inlineStr">
        <is>
          <t>Low volume: 3 markets combined = 20/mo (under 30)</t>
        </is>
      </c>
      <c r="E8" s="11" t="inlineStr">
        <is>
          <t>Semrush tracking (project 2824033)</t>
        </is>
      </c>
      <c r="F8" s="9" t="n">
        <v>10</v>
      </c>
      <c r="G8" s="9" t="n">
        <v>10</v>
      </c>
      <c r="H8" s="9" t="n"/>
      <c r="I8" s="9" t="n"/>
    </row>
    <row r="9">
      <c r="A9" s="14" t="inlineStr">
        <is>
          <t>Remove</t>
        </is>
      </c>
      <c r="B9" s="9" t="inlineStr">
        <is>
          <t>Langley</t>
        </is>
      </c>
      <c r="C9" s="9" t="inlineStr">
        <is>
          <t>heating services langley</t>
        </is>
      </c>
      <c r="D9" s="11" t="inlineStr">
        <is>
          <t>Low volume: 3 markets combined = 20/mo (under 30)</t>
        </is>
      </c>
      <c r="E9" s="11" t="inlineStr">
        <is>
          <t>Semrush tracking (project 2824033)</t>
        </is>
      </c>
      <c r="F9" s="9" t="n">
        <v>10</v>
      </c>
      <c r="G9" s="9" t="n">
        <v>10</v>
      </c>
      <c r="H9" s="9" t="n">
        <v>66</v>
      </c>
      <c r="I9" s="9" t="inlineStr">
        <is>
          <t>/langley-plumbing-and-heating/</t>
        </is>
      </c>
    </row>
    <row r="10">
      <c r="A10" s="14" t="inlineStr">
        <is>
          <t>Remove</t>
        </is>
      </c>
      <c r="B10" s="9" t="inlineStr">
        <is>
          <t>Langley</t>
        </is>
      </c>
      <c r="C10" s="9" t="inlineStr">
        <is>
          <t>plumbing and heating company langley</t>
        </is>
      </c>
      <c r="D10" s="11" t="inlineStr">
        <is>
          <t>Low volume: 3 markets combined = 20/mo (under 30)</t>
        </is>
      </c>
      <c r="E10" s="11" t="inlineStr">
        <is>
          <t>Semrush tracking (project 2824033)</t>
        </is>
      </c>
      <c r="F10" s="9" t="n">
        <v>10</v>
      </c>
      <c r="G10" s="9" t="n">
        <v>10</v>
      </c>
      <c r="H10" s="9" t="n"/>
      <c r="I10" s="9" t="n"/>
    </row>
    <row r="11">
      <c r="A11" s="14" t="inlineStr">
        <is>
          <t>Remove</t>
        </is>
      </c>
      <c r="B11" s="9" t="inlineStr">
        <is>
          <t>Langley</t>
        </is>
      </c>
      <c r="C11" s="9" t="inlineStr">
        <is>
          <t>tankless water heater maintenance langley</t>
        </is>
      </c>
      <c r="D11" s="11" t="inlineStr">
        <is>
          <t>Low volume: 3 markets combined = 20/mo (under 30)</t>
        </is>
      </c>
      <c r="E11" s="11" t="inlineStr">
        <is>
          <t>Semrush tracking (project 2824033)</t>
        </is>
      </c>
      <c r="F11" s="9" t="n">
        <v>10</v>
      </c>
      <c r="G11" s="9" t="n">
        <v>10</v>
      </c>
      <c r="H11" s="9" t="n">
        <v>34</v>
      </c>
      <c r="I11" s="9" t="inlineStr">
        <is>
          <t>/services/plumbing/hot-water-tanks/</t>
        </is>
      </c>
    </row>
    <row r="12">
      <c r="A12" s="14" t="inlineStr">
        <is>
          <t>Remove</t>
        </is>
      </c>
      <c r="B12" s="9" t="inlineStr">
        <is>
          <t>All (no location)</t>
        </is>
      </c>
      <c r="C12" s="9" t="inlineStr">
        <is>
          <t>fortis rebates</t>
        </is>
      </c>
      <c r="D12" s="11" t="inlineStr">
        <is>
          <t>Informational, not a service; FortisBC co-op dropped 2025-09-02. Keep only if the rebate page is a deliberate lead magnet (confirm with Andrew).</t>
        </is>
      </c>
      <c r="E12" s="11" t="inlineStr">
        <is>
          <t>Semrush tracking (project 2824033)</t>
        </is>
      </c>
      <c r="F12" s="9" t="n">
        <v>1000</v>
      </c>
      <c r="G12" s="9" t="n">
        <v>2400</v>
      </c>
      <c r="H12" s="9" t="n">
        <v>59</v>
      </c>
      <c r="I12" s="9" t="inlineStr">
        <is>
          <t>/fortisbc-rebates/</t>
        </is>
      </c>
    </row>
    <row r="13">
      <c r="A13" s="14" t="inlineStr">
        <is>
          <t>Remove</t>
        </is>
      </c>
      <c r="B13" s="9" t="inlineStr">
        <is>
          <t>Abbotsford</t>
        </is>
      </c>
      <c r="C13" s="9" t="inlineStr">
        <is>
          <t>boiler repair abbotsford</t>
        </is>
      </c>
      <c r="D13" s="11" t="inlineStr">
        <is>
          <t>Abbotsford is no longer served (Client Overview, Sept 2026)</t>
        </is>
      </c>
      <c r="E13" s="11" t="inlineStr">
        <is>
          <t>Semrush tracking (project 2824033)</t>
        </is>
      </c>
      <c r="F13" s="9" t="n">
        <v>10</v>
      </c>
      <c r="G13" s="9" t="n">
        <v>10</v>
      </c>
      <c r="H13" s="9" t="n">
        <v>46</v>
      </c>
      <c r="I13" s="9" t="inlineStr">
        <is>
          <t>/services/heating-cooling/boiler-repair/</t>
        </is>
      </c>
    </row>
    <row r="14">
      <c r="A14" s="14" t="inlineStr">
        <is>
          <t>Remove</t>
        </is>
      </c>
      <c r="B14" s="9" t="inlineStr">
        <is>
          <t>Abbotsford</t>
        </is>
      </c>
      <c r="C14" s="9" t="inlineStr">
        <is>
          <t>furnace abbotsford</t>
        </is>
      </c>
      <c r="D14" s="11" t="inlineStr">
        <is>
          <t>Abbotsford is no longer served (Client Overview, Sept 2026)</t>
        </is>
      </c>
      <c r="E14" s="11" t="inlineStr">
        <is>
          <t>Semrush tracking (project 2824033)</t>
        </is>
      </c>
      <c r="F14" s="9" t="n">
        <v>10</v>
      </c>
      <c r="G14" s="9" t="n">
        <v>20</v>
      </c>
      <c r="H14" s="9" t="n"/>
      <c r="I14" s="9" t="n"/>
    </row>
    <row r="15">
      <c r="A15" s="14" t="inlineStr">
        <is>
          <t>Remove</t>
        </is>
      </c>
      <c r="B15" s="9" t="inlineStr">
        <is>
          <t>Abbotsford</t>
        </is>
      </c>
      <c r="C15" s="9" t="inlineStr">
        <is>
          <t>furnace maintenance abbotsford</t>
        </is>
      </c>
      <c r="D15" s="11" t="inlineStr">
        <is>
          <t>Abbotsford is no longer served (Client Overview, Sept 2026)</t>
        </is>
      </c>
      <c r="E15" s="11" t="inlineStr">
        <is>
          <t>Semrush tracking (project 2824033)</t>
        </is>
      </c>
      <c r="F15" s="9" t="n">
        <v>10</v>
      </c>
      <c r="G15" s="9" t="n">
        <v>10</v>
      </c>
      <c r="H15" s="9" t="n"/>
      <c r="I15" s="9" t="n"/>
    </row>
    <row r="16">
      <c r="A16" s="14" t="inlineStr">
        <is>
          <t>Remove</t>
        </is>
      </c>
      <c r="B16" s="9" t="inlineStr">
        <is>
          <t>Abbotsford</t>
        </is>
      </c>
      <c r="C16" s="9" t="inlineStr">
        <is>
          <t>furnace repair abbotsford</t>
        </is>
      </c>
      <c r="D16" s="11" t="inlineStr">
        <is>
          <t>Abbotsford is no longer served (Client Overview, Sept 2026)</t>
        </is>
      </c>
      <c r="E16" s="11" t="inlineStr">
        <is>
          <t>Semrush tracking (project 2824033)</t>
        </is>
      </c>
      <c r="F16" s="9" t="n">
        <v>90</v>
      </c>
      <c r="G16" s="9" t="n">
        <v>170</v>
      </c>
      <c r="H16" s="9" t="n"/>
      <c r="I16" s="9" t="n"/>
    </row>
    <row r="17">
      <c r="A17" s="14" t="inlineStr">
        <is>
          <t>Remove</t>
        </is>
      </c>
      <c r="B17" s="9" t="inlineStr">
        <is>
          <t>Abbotsford</t>
        </is>
      </c>
      <c r="C17" s="9" t="inlineStr">
        <is>
          <t>hot water tank abbotsford</t>
        </is>
      </c>
      <c r="D17" s="11" t="inlineStr">
        <is>
          <t>Abbotsford is no longer served (Client Overview, Sept 2026)</t>
        </is>
      </c>
      <c r="E17" s="11" t="inlineStr">
        <is>
          <t>Semrush tracking (project 2824033)</t>
        </is>
      </c>
      <c r="F17" s="9" t="n">
        <v>20</v>
      </c>
      <c r="G17" s="9" t="n">
        <v>20</v>
      </c>
      <c r="H17" s="9" t="n"/>
      <c r="I17" s="9" t="n"/>
    </row>
    <row r="18">
      <c r="A18" s="14" t="inlineStr">
        <is>
          <t>Remove</t>
        </is>
      </c>
      <c r="B18" s="9" t="inlineStr">
        <is>
          <t>Abbotsford</t>
        </is>
      </c>
      <c r="C18" s="9" t="inlineStr">
        <is>
          <t>plumber abbotsford</t>
        </is>
      </c>
      <c r="D18" s="11" t="inlineStr">
        <is>
          <t>Abbotsford is no longer served (Client Overview, Sept 2026)</t>
        </is>
      </c>
      <c r="E18" s="11" t="inlineStr">
        <is>
          <t>Semrush tracking (project 2824033)</t>
        </is>
      </c>
      <c r="F18" s="9" t="n">
        <v>880</v>
      </c>
      <c r="G18" s="9" t="n">
        <v>720</v>
      </c>
      <c r="H18" s="9" t="n"/>
      <c r="I18" s="9" t="n"/>
    </row>
    <row r="19">
      <c r="A19" s="15" t="inlineStr">
        <is>
          <t>Skip</t>
        </is>
      </c>
      <c r="B19" s="9" t="inlineStr">
        <is>
          <t>Surrey</t>
        </is>
      </c>
      <c r="C19" s="9" t="inlineStr">
        <is>
          <t>boiler maintenance surrey</t>
        </is>
      </c>
      <c r="D19" s="11" t="inlineStr">
        <is>
          <t>Low volume: 3 markets combined = 10/mo (under 30)</t>
        </is>
      </c>
      <c r="E19" s="11" t="inlineStr">
        <is>
          <t>Gap list (keywords.md s.5): KW Research sheet 2024 / Client Overview 2026</t>
        </is>
      </c>
      <c r="F19" s="9" t="n">
        <v>10</v>
      </c>
      <c r="G19" s="9" t="n"/>
      <c r="H19" s="9" t="n"/>
      <c r="I19" s="9" t="n"/>
    </row>
    <row r="20">
      <c r="A20" s="15" t="inlineStr">
        <is>
          <t>Skip</t>
        </is>
      </c>
      <c r="B20" s="9" t="inlineStr">
        <is>
          <t>Surrey</t>
        </is>
      </c>
      <c r="C20" s="9" t="inlineStr">
        <is>
          <t>heat pump service surrey</t>
        </is>
      </c>
      <c r="D20" s="11" t="inlineStr">
        <is>
          <t>Low volume: 3 markets combined = 20/mo (under 30)</t>
        </is>
      </c>
      <c r="E20" s="11" t="inlineStr">
        <is>
          <t>Gap list (keywords.md s.5): KW Research sheet 2024 / Client Overview 2026</t>
        </is>
      </c>
      <c r="F20" s="9" t="n">
        <v>10</v>
      </c>
      <c r="G20" s="9" t="n"/>
      <c r="H20" s="9" t="n"/>
      <c r="I20" s="9" t="n"/>
    </row>
    <row r="21">
      <c r="A21" s="15" t="inlineStr">
        <is>
          <t>Skip</t>
        </is>
      </c>
      <c r="B21" s="9" t="inlineStr">
        <is>
          <t>Surrey</t>
        </is>
      </c>
      <c r="C21" s="9" t="inlineStr">
        <is>
          <t>heating and cooling surrey</t>
        </is>
      </c>
      <c r="D21" s="11" t="inlineStr">
        <is>
          <t>Low volume: 3 markets combined = 20/mo (under 30)</t>
        </is>
      </c>
      <c r="E21" s="11" t="inlineStr">
        <is>
          <t>Gap list (keywords.md s.5): KW Research sheet 2024 / Client Overview 2026</t>
        </is>
      </c>
      <c r="F21" s="9" t="n">
        <v>20</v>
      </c>
      <c r="G21" s="9" t="n"/>
      <c r="H21" s="9" t="n"/>
      <c r="I21" s="9" t="n"/>
    </row>
    <row r="22">
      <c r="A22" s="15" t="inlineStr">
        <is>
          <t>Skip</t>
        </is>
      </c>
      <c r="B22" s="9" t="inlineStr">
        <is>
          <t>Surrey</t>
        </is>
      </c>
      <c r="C22" s="9" t="inlineStr">
        <is>
          <t>navien repair surrey</t>
        </is>
      </c>
      <c r="D22" s="11" t="inlineStr">
        <is>
          <t>Low volume: 3 markets combined = 0/mo (under 30)</t>
        </is>
      </c>
      <c r="E22" s="11" t="inlineStr">
        <is>
          <t>Gap list (keywords.md s.5): KW Research sheet 2024 / Client Overview 2026</t>
        </is>
      </c>
      <c r="F22" s="9" t="n">
        <v>0</v>
      </c>
      <c r="G22" s="9" t="n"/>
      <c r="H22" s="9" t="n"/>
      <c r="I22" s="9" t="n"/>
    </row>
    <row r="23">
      <c r="A23" s="15" t="inlineStr">
        <is>
          <t>Skip</t>
        </is>
      </c>
      <c r="B23" s="9" t="inlineStr">
        <is>
          <t>Surrey</t>
        </is>
      </c>
      <c r="C23" s="9" t="inlineStr">
        <is>
          <t>navien tankless water heater surrey</t>
        </is>
      </c>
      <c r="D23" s="11" t="inlineStr">
        <is>
          <t>Low volume: 3 markets combined = 0/mo (under 30)</t>
        </is>
      </c>
      <c r="E23" s="11" t="inlineStr">
        <is>
          <t>Gap list (keywords.md s.5): KW Research sheet 2024 / Client Overview 2026</t>
        </is>
      </c>
      <c r="F23" s="9" t="n">
        <v>0</v>
      </c>
      <c r="G23" s="9" t="n"/>
      <c r="H23" s="9" t="n"/>
      <c r="I23" s="9" t="n"/>
    </row>
    <row r="24">
      <c r="A24" s="15" t="inlineStr">
        <is>
          <t>Skip</t>
        </is>
      </c>
      <c r="B24" s="9" t="inlineStr">
        <is>
          <t>Surrey</t>
        </is>
      </c>
      <c r="C24" s="9" t="inlineStr">
        <is>
          <t>plumber crescent beach</t>
        </is>
      </c>
      <c r="D24" s="11" t="inlineStr">
        <is>
          <t>No measurable volume</t>
        </is>
      </c>
      <c r="E24" s="11" t="inlineStr">
        <is>
          <t>Client priority areas (Client Briefing 2026)</t>
        </is>
      </c>
      <c r="F24" s="9" t="n">
        <v>0</v>
      </c>
      <c r="G24" s="9" t="n"/>
      <c r="H24" s="9" t="n"/>
      <c r="I24" s="9" t="n"/>
    </row>
    <row r="25">
      <c r="A25" s="15" t="inlineStr">
        <is>
          <t>Skip</t>
        </is>
      </c>
      <c r="B25" s="9" t="inlineStr">
        <is>
          <t>Surrey</t>
        </is>
      </c>
      <c r="C25" s="9" t="inlineStr">
        <is>
          <t>plumber grandview heights</t>
        </is>
      </c>
      <c r="D25" s="11" t="inlineStr">
        <is>
          <t>No measurable volume</t>
        </is>
      </c>
      <c r="E25" s="11" t="inlineStr">
        <is>
          <t>Client priority areas (Client Briefing 2026)</t>
        </is>
      </c>
      <c r="F25" s="9" t="n">
        <v>0</v>
      </c>
      <c r="G25" s="9" t="n"/>
      <c r="H25" s="9" t="n"/>
      <c r="I25" s="9" t="n"/>
    </row>
    <row r="26">
      <c r="A26" s="15" t="inlineStr">
        <is>
          <t>Skip</t>
        </is>
      </c>
      <c r="B26" s="9" t="inlineStr">
        <is>
          <t>Surrey</t>
        </is>
      </c>
      <c r="C26" s="9" t="inlineStr">
        <is>
          <t>plumber morgan creek</t>
        </is>
      </c>
      <c r="D26" s="11" t="inlineStr">
        <is>
          <t>No measurable volume</t>
        </is>
      </c>
      <c r="E26" s="11" t="inlineStr">
        <is>
          <t>Client priority areas (Client Briefing 2026)</t>
        </is>
      </c>
      <c r="F26" s="9" t="n">
        <v>0</v>
      </c>
      <c r="G26" s="9" t="n"/>
      <c r="H26" s="9" t="n"/>
      <c r="I26" s="9" t="n"/>
    </row>
    <row r="27">
      <c r="A27" s="15" t="inlineStr">
        <is>
          <t>Skip</t>
        </is>
      </c>
      <c r="B27" s="9" t="inlineStr">
        <is>
          <t>Surrey</t>
        </is>
      </c>
      <c r="C27" s="9" t="inlineStr">
        <is>
          <t>plumber ocean park</t>
        </is>
      </c>
      <c r="D27" s="11" t="inlineStr">
        <is>
          <t>No measurable volume</t>
        </is>
      </c>
      <c r="E27" s="11" t="inlineStr">
        <is>
          <t>Client priority areas (Client Briefing 2026)</t>
        </is>
      </c>
      <c r="F27" s="9" t="n">
        <v>0</v>
      </c>
      <c r="G27" s="9" t="n"/>
      <c r="H27" s="9" t="n"/>
      <c r="I27" s="9" t="n"/>
    </row>
    <row r="28">
      <c r="A28" s="15" t="inlineStr">
        <is>
          <t>Skip</t>
        </is>
      </c>
      <c r="B28" s="9" t="inlineStr">
        <is>
          <t>White Rock</t>
        </is>
      </c>
      <c r="C28" s="9" t="inlineStr">
        <is>
          <t>air conditioning services white rock</t>
        </is>
      </c>
      <c r="D28" s="11" t="inlineStr">
        <is>
          <t>Low volume: 3 markets combined = 20/mo (under 30)</t>
        </is>
      </c>
      <c r="E28" s="11" t="inlineStr">
        <is>
          <t>Mirror of tracked Surrey + Langley keyword</t>
        </is>
      </c>
      <c r="F28" s="9" t="n">
        <v>0</v>
      </c>
      <c r="G28" s="9" t="n"/>
      <c r="H28" s="9" t="n"/>
      <c r="I28" s="9" t="n"/>
    </row>
    <row r="29">
      <c r="A29" s="15" t="inlineStr">
        <is>
          <t>Skip</t>
        </is>
      </c>
      <c r="B29" s="9" t="inlineStr">
        <is>
          <t>White Rock</t>
        </is>
      </c>
      <c r="C29" s="9" t="inlineStr">
        <is>
          <t>best plumbers in white rock</t>
        </is>
      </c>
      <c r="D29" s="11" t="inlineStr">
        <is>
          <t>Low volume: 3 markets combined = 20/mo (under 30)</t>
        </is>
      </c>
      <c r="E29" s="11" t="inlineStr">
        <is>
          <t>Mirror of tracked Surrey keyword</t>
        </is>
      </c>
      <c r="F29" s="9" t="n">
        <v>0</v>
      </c>
      <c r="G29" s="9" t="n"/>
      <c r="H29" s="9" t="n"/>
      <c r="I29" s="9" t="n"/>
    </row>
    <row r="30">
      <c r="A30" s="15" t="inlineStr">
        <is>
          <t>Skip</t>
        </is>
      </c>
      <c r="B30" s="9" t="inlineStr">
        <is>
          <t>White Rock</t>
        </is>
      </c>
      <c r="C30" s="9" t="inlineStr">
        <is>
          <t>boiler maintenance white rock</t>
        </is>
      </c>
      <c r="D30" s="11" t="inlineStr">
        <is>
          <t>Low volume: 3 markets combined = 10/mo (under 30)</t>
        </is>
      </c>
      <c r="E30" s="11" t="inlineStr">
        <is>
          <t>Gap list (keywords.md s.5): KW Research sheet 2024 / Client Overview 2026</t>
        </is>
      </c>
      <c r="F30" s="9" t="n">
        <v>0</v>
      </c>
      <c r="G30" s="9" t="n"/>
      <c r="H30" s="9" t="n"/>
      <c r="I30" s="9" t="n"/>
    </row>
    <row r="31">
      <c r="A31" s="15" t="inlineStr">
        <is>
          <t>Skip</t>
        </is>
      </c>
      <c r="B31" s="9" t="inlineStr">
        <is>
          <t>White Rock</t>
        </is>
      </c>
      <c r="C31" s="9" t="inlineStr">
        <is>
          <t>gas line installation services white rock</t>
        </is>
      </c>
      <c r="D31" s="11" t="inlineStr">
        <is>
          <t>Low volume: 3 markets combined = 10/mo (under 30)</t>
        </is>
      </c>
      <c r="E31" s="11" t="inlineStr">
        <is>
          <t>Mirror of tracked Surrey keyword</t>
        </is>
      </c>
      <c r="F31" s="9" t="n">
        <v>0</v>
      </c>
      <c r="G31" s="9" t="n"/>
      <c r="H31" s="9" t="n"/>
      <c r="I31" s="9" t="n"/>
    </row>
    <row r="32">
      <c r="A32" s="15" t="inlineStr">
        <is>
          <t>Skip</t>
        </is>
      </c>
      <c r="B32" s="9" t="inlineStr">
        <is>
          <t>White Rock</t>
        </is>
      </c>
      <c r="C32" s="9" t="inlineStr">
        <is>
          <t>heat pump service white rock</t>
        </is>
      </c>
      <c r="D32" s="11" t="inlineStr">
        <is>
          <t>Low volume: 3 markets combined = 20/mo (under 30)</t>
        </is>
      </c>
      <c r="E32" s="11" t="inlineStr">
        <is>
          <t>Gap list (keywords.md s.5): KW Research sheet 2024 / Client Overview 2026</t>
        </is>
      </c>
      <c r="F32" s="9" t="n">
        <v>0</v>
      </c>
      <c r="G32" s="9" t="n"/>
      <c r="H32" s="9" t="n"/>
      <c r="I32" s="9" t="n"/>
    </row>
    <row r="33">
      <c r="A33" s="15" t="inlineStr">
        <is>
          <t>Skip</t>
        </is>
      </c>
      <c r="B33" s="9" t="inlineStr">
        <is>
          <t>White Rock</t>
        </is>
      </c>
      <c r="C33" s="9" t="inlineStr">
        <is>
          <t>heating and cooling white rock</t>
        </is>
      </c>
      <c r="D33" s="11" t="inlineStr">
        <is>
          <t>Low volume: 3 markets combined = 20/mo (under 30)</t>
        </is>
      </c>
      <c r="E33" s="11" t="inlineStr">
        <is>
          <t>Gap list (keywords.md s.5): KW Research sheet 2024 / Client Overview 2026</t>
        </is>
      </c>
      <c r="F33" s="9" t="n">
        <v>0</v>
      </c>
      <c r="G33" s="9" t="n"/>
      <c r="H33" s="9" t="n"/>
      <c r="I33" s="9" t="n"/>
    </row>
    <row r="34">
      <c r="A34" s="15" t="inlineStr">
        <is>
          <t>Skip</t>
        </is>
      </c>
      <c r="B34" s="9" t="inlineStr">
        <is>
          <t>White Rock</t>
        </is>
      </c>
      <c r="C34" s="9" t="inlineStr">
        <is>
          <t>heating services white rock</t>
        </is>
      </c>
      <c r="D34" s="11" t="inlineStr">
        <is>
          <t>Low volume: 3 markets combined = 20/mo (under 30)</t>
        </is>
      </c>
      <c r="E34" s="11" t="inlineStr">
        <is>
          <t>Mirror of tracked Surrey + Langley keyword</t>
        </is>
      </c>
      <c r="F34" s="9" t="n">
        <v>0</v>
      </c>
      <c r="G34" s="9" t="n"/>
      <c r="H34" s="9" t="n"/>
      <c r="I34" s="9" t="n"/>
    </row>
    <row r="35">
      <c r="A35" s="15" t="inlineStr">
        <is>
          <t>Skip</t>
        </is>
      </c>
      <c r="B35" s="9" t="inlineStr">
        <is>
          <t>White Rock</t>
        </is>
      </c>
      <c r="C35" s="9" t="inlineStr">
        <is>
          <t>navien repair white rock</t>
        </is>
      </c>
      <c r="D35" s="11" t="inlineStr">
        <is>
          <t>Low volume: 3 markets combined = 0/mo (under 30)</t>
        </is>
      </c>
      <c r="E35" s="11" t="inlineStr">
        <is>
          <t>Gap list (keywords.md s.5): KW Research sheet 2024 / Client Overview 2026</t>
        </is>
      </c>
      <c r="F35" s="9" t="n">
        <v>0</v>
      </c>
      <c r="G35" s="9" t="n"/>
      <c r="H35" s="9" t="n"/>
      <c r="I35" s="9" t="n"/>
    </row>
    <row r="36">
      <c r="A36" s="15" t="inlineStr">
        <is>
          <t>Skip</t>
        </is>
      </c>
      <c r="B36" s="9" t="inlineStr">
        <is>
          <t>White Rock</t>
        </is>
      </c>
      <c r="C36" s="9" t="inlineStr">
        <is>
          <t>navien tankless water heater white rock</t>
        </is>
      </c>
      <c r="D36" s="11" t="inlineStr">
        <is>
          <t>Low volume: 3 markets combined = 0/mo (under 30)</t>
        </is>
      </c>
      <c r="E36" s="11" t="inlineStr">
        <is>
          <t>Gap list (keywords.md s.5): KW Research sheet 2024 / Client Overview 2026</t>
        </is>
      </c>
      <c r="F36" s="9" t="n">
        <v>0</v>
      </c>
      <c r="G36" s="9" t="n"/>
      <c r="H36" s="9" t="n"/>
      <c r="I36" s="9" t="n"/>
    </row>
    <row r="37">
      <c r="A37" s="15" t="inlineStr">
        <is>
          <t>Skip</t>
        </is>
      </c>
      <c r="B37" s="9" t="inlineStr">
        <is>
          <t>White Rock</t>
        </is>
      </c>
      <c r="C37" s="9" t="inlineStr">
        <is>
          <t>plumbing and heating company white rock</t>
        </is>
      </c>
      <c r="D37" s="11" t="inlineStr">
        <is>
          <t>Low volume: 3 markets combined = 20/mo (under 30)</t>
        </is>
      </c>
      <c r="E37" s="11" t="inlineStr">
        <is>
          <t>Mirror of tracked Surrey + Langley keyword</t>
        </is>
      </c>
      <c r="F37" s="9" t="n">
        <v>0</v>
      </c>
      <c r="G37" s="9" t="n"/>
      <c r="H37" s="9" t="n"/>
      <c r="I37" s="9" t="n"/>
    </row>
    <row r="38">
      <c r="A38" s="15" t="inlineStr">
        <is>
          <t>Skip</t>
        </is>
      </c>
      <c r="B38" s="9" t="inlineStr">
        <is>
          <t>White Rock</t>
        </is>
      </c>
      <c r="C38" s="9" t="inlineStr">
        <is>
          <t>tankless water heater maintenance white rock</t>
        </is>
      </c>
      <c r="D38" s="11" t="inlineStr">
        <is>
          <t>Low volume: 3 markets combined = 20/mo (under 30)</t>
        </is>
      </c>
      <c r="E38" s="11" t="inlineStr">
        <is>
          <t>Mirror of tracked Surrey + Langley keyword</t>
        </is>
      </c>
      <c r="F38" s="9" t="n">
        <v>0</v>
      </c>
      <c r="G38" s="9" t="n"/>
      <c r="H38" s="9" t="n"/>
      <c r="I38" s="9" t="n"/>
    </row>
    <row r="39">
      <c r="A39" s="15" t="inlineStr">
        <is>
          <t>Skip</t>
        </is>
      </c>
      <c r="B39" s="9" t="inlineStr">
        <is>
          <t>Langley</t>
        </is>
      </c>
      <c r="C39" s="9" t="inlineStr">
        <is>
          <t>best plumbers in langley</t>
        </is>
      </c>
      <c r="D39" s="11" t="inlineStr">
        <is>
          <t>Low volume: 3 markets combined = 20/mo (under 30)</t>
        </is>
      </c>
      <c r="E39" s="11" t="inlineStr">
        <is>
          <t>Mirror of tracked Surrey keyword</t>
        </is>
      </c>
      <c r="F39" s="9" t="n">
        <v>0</v>
      </c>
      <c r="G39" s="9" t="n"/>
      <c r="H39" s="9" t="n"/>
      <c r="I39" s="9" t="n"/>
    </row>
    <row r="40">
      <c r="A40" s="15" t="inlineStr">
        <is>
          <t>Skip</t>
        </is>
      </c>
      <c r="B40" s="9" t="inlineStr">
        <is>
          <t>Langley</t>
        </is>
      </c>
      <c r="C40" s="9" t="inlineStr">
        <is>
          <t>boiler maintenance langley</t>
        </is>
      </c>
      <c r="D40" s="11" t="inlineStr">
        <is>
          <t>Low volume: 3 markets combined = 10/mo (under 30)</t>
        </is>
      </c>
      <c r="E40" s="11" t="inlineStr">
        <is>
          <t>Gap list (keywords.md s.5): KW Research sheet 2024 / Client Overview 2026</t>
        </is>
      </c>
      <c r="F40" s="9" t="n">
        <v>0</v>
      </c>
      <c r="G40" s="9" t="n"/>
      <c r="H40" s="9" t="n"/>
      <c r="I40" s="9" t="n"/>
    </row>
    <row r="41">
      <c r="A41" s="15" t="inlineStr">
        <is>
          <t>Skip</t>
        </is>
      </c>
      <c r="B41" s="9" t="inlineStr">
        <is>
          <t>Langley</t>
        </is>
      </c>
      <c r="C41" s="9" t="inlineStr">
        <is>
          <t>gas line installation services langley</t>
        </is>
      </c>
      <c r="D41" s="11" t="inlineStr">
        <is>
          <t>Low volume: 3 markets combined = 10/mo (under 30)</t>
        </is>
      </c>
      <c r="E41" s="11" t="inlineStr">
        <is>
          <t>Mirror of tracked Surrey keyword</t>
        </is>
      </c>
      <c r="F41" s="9" t="n">
        <v>0</v>
      </c>
      <c r="G41" s="9" t="n"/>
      <c r="H41" s="9" t="n"/>
      <c r="I41" s="9" t="n"/>
    </row>
    <row r="42">
      <c r="A42" s="15" t="inlineStr">
        <is>
          <t>Skip</t>
        </is>
      </c>
      <c r="B42" s="9" t="inlineStr">
        <is>
          <t>Langley</t>
        </is>
      </c>
      <c r="C42" s="9" t="inlineStr">
        <is>
          <t>heat pump service langley</t>
        </is>
      </c>
      <c r="D42" s="11" t="inlineStr">
        <is>
          <t>Low volume: 3 markets combined = 20/mo (under 30)</t>
        </is>
      </c>
      <c r="E42" s="11" t="inlineStr">
        <is>
          <t>Gap list (keywords.md s.5): KW Research sheet 2024 / Client Overview 2026</t>
        </is>
      </c>
      <c r="F42" s="9" t="n">
        <v>10</v>
      </c>
      <c r="G42" s="9" t="n"/>
      <c r="H42" s="9" t="n"/>
      <c r="I42" s="9" t="n"/>
    </row>
    <row r="43">
      <c r="A43" s="15" t="inlineStr">
        <is>
          <t>Skip</t>
        </is>
      </c>
      <c r="B43" s="9" t="inlineStr">
        <is>
          <t>Langley</t>
        </is>
      </c>
      <c r="C43" s="9" t="inlineStr">
        <is>
          <t>heating and cooling langley</t>
        </is>
      </c>
      <c r="D43" s="11" t="inlineStr">
        <is>
          <t>Low volume: 3 markets combined = 20/mo (under 30)</t>
        </is>
      </c>
      <c r="E43" s="11" t="inlineStr">
        <is>
          <t>Gap list (keywords.md s.5): KW Research sheet 2024 / Client Overview 2026</t>
        </is>
      </c>
      <c r="F43" s="9" t="n">
        <v>0</v>
      </c>
      <c r="G43" s="9" t="n"/>
      <c r="H43" s="9" t="n"/>
      <c r="I43" s="9" t="n"/>
    </row>
    <row r="44">
      <c r="A44" s="15" t="inlineStr">
        <is>
          <t>Skip</t>
        </is>
      </c>
      <c r="B44" s="9" t="inlineStr">
        <is>
          <t>Langley</t>
        </is>
      </c>
      <c r="C44" s="9" t="inlineStr">
        <is>
          <t>navien repair langley</t>
        </is>
      </c>
      <c r="D44" s="11" t="inlineStr">
        <is>
          <t>Low volume: 3 markets combined = 0/mo (under 30)</t>
        </is>
      </c>
      <c r="E44" s="11" t="inlineStr">
        <is>
          <t>Gap list (keywords.md s.5): KW Research sheet 2024 / Client Overview 2026</t>
        </is>
      </c>
      <c r="F44" s="9" t="n">
        <v>0</v>
      </c>
      <c r="G44" s="9" t="n"/>
      <c r="H44" s="9" t="n"/>
      <c r="I44" s="9" t="n"/>
    </row>
    <row r="45">
      <c r="A45" s="15" t="inlineStr">
        <is>
          <t>Skip</t>
        </is>
      </c>
      <c r="B45" s="9" t="inlineStr">
        <is>
          <t>Langley</t>
        </is>
      </c>
      <c r="C45" s="9" t="inlineStr">
        <is>
          <t>navien tankless water heater langley</t>
        </is>
      </c>
      <c r="D45" s="11" t="inlineStr">
        <is>
          <t>Low volume: 3 markets combined = 0/mo (under 30)</t>
        </is>
      </c>
      <c r="E45" s="11" t="inlineStr">
        <is>
          <t>Gap list (keywords.md s.5): KW Research sheet 2024 / Client Overview 2026</t>
        </is>
      </c>
      <c r="F45" s="9" t="n">
        <v>0</v>
      </c>
      <c r="G45" s="9" t="n"/>
      <c r="H45" s="9" t="n"/>
      <c r="I45" s="9" t="n"/>
    </row>
    <row r="46">
      <c r="A46" s="15" t="inlineStr">
        <is>
          <t>Skip</t>
        </is>
      </c>
      <c r="B46" s="9" t="inlineStr">
        <is>
          <t>Langley</t>
        </is>
      </c>
      <c r="C46" s="9" t="inlineStr">
        <is>
          <t>plumber walnut grove</t>
        </is>
      </c>
      <c r="D46" s="11" t="inlineStr">
        <is>
          <t>No measurable volume</t>
        </is>
      </c>
      <c r="E46" s="11" t="inlineStr">
        <is>
          <t>Client priority areas (Client Briefing 2026)</t>
        </is>
      </c>
      <c r="F46" s="9" t="n">
        <v>0</v>
      </c>
      <c r="G46" s="9" t="n"/>
      <c r="H46" s="9" t="n"/>
      <c r="I46" s="9" t="n"/>
    </row>
    <row r="47">
      <c r="A47" s="15" t="inlineStr">
        <is>
          <t>Skip</t>
        </is>
      </c>
      <c r="B47" s="9" t="inlineStr">
        <is>
          <t>All (no location)</t>
        </is>
      </c>
      <c r="C47" s="9" t="inlineStr">
        <is>
          <t>strata boiler repair</t>
        </is>
      </c>
      <c r="D47" s="11" t="inlineStr">
        <is>
          <t>Low volume</t>
        </is>
      </c>
      <c r="E47" s="11" t="inlineStr">
        <is>
          <t>Oct 2023 client meeting notes</t>
        </is>
      </c>
      <c r="F47" s="9" t="n">
        <v>0</v>
      </c>
      <c r="G47" s="9" t="n"/>
      <c r="H47" s="9" t="n"/>
      <c r="I47" s="9" t="n"/>
    </row>
    <row r="48">
      <c r="A48" s="15" t="inlineStr">
        <is>
          <t>Skip</t>
        </is>
      </c>
      <c r="B48" s="9" t="inlineStr">
        <is>
          <t>All (no location)</t>
        </is>
      </c>
      <c r="C48" s="9" t="inlineStr">
        <is>
          <t>strata plumbing services</t>
        </is>
      </c>
      <c r="D48" s="11" t="inlineStr">
        <is>
          <t>Low volume</t>
        </is>
      </c>
      <c r="E48" s="11" t="inlineStr">
        <is>
          <t>Oct 2023 client meeting notes</t>
        </is>
      </c>
      <c r="F48" s="9" t="n">
        <v>10</v>
      </c>
      <c r="G48" s="9" t="n"/>
      <c r="H48" s="9" t="n"/>
      <c r="I48" s="9" t="n"/>
    </row>
  </sheetData>
  <autoFilter ref="A1:I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9" customWidth="1" min="3" max="3"/>
    <col width="9" customWidth="1" min="4" max="4"/>
    <col width="10" customWidth="1" min="5" max="5"/>
    <col width="10" customWidth="1" min="6" max="6"/>
    <col width="11" customWidth="1" min="7" max="7"/>
    <col width="11" customWidth="1" min="8" max="8"/>
    <col width="40" customWidth="1" min="9" max="9"/>
    <col width="14" customWidth="1" min="10" max="10"/>
    <col width="55" customWidth="1" min="11" max="11"/>
  </cols>
  <sheetData>
    <row r="1" ht="30" customHeight="1">
      <c r="A1" s="8" t="inlineStr">
        <is>
          <t>Group</t>
        </is>
      </c>
      <c r="B1" s="8" t="inlineStr">
        <is>
          <t>Keyword</t>
        </is>
      </c>
      <c r="C1" s="8" t="inlineStr">
        <is>
          <t>Pos. 10-05</t>
        </is>
      </c>
      <c r="D1" s="8" t="inlineStr">
        <is>
          <t>Pos. 09-29</t>
        </is>
      </c>
      <c r="E1" s="8" t="inlineStr">
        <is>
          <t>7-day change</t>
        </is>
      </c>
      <c r="F1" s="8" t="inlineStr">
        <is>
          <t>30-day change</t>
        </is>
      </c>
      <c r="G1" s="8" t="inlineStr">
        <is>
          <t>Semrush volume</t>
        </is>
      </c>
      <c r="H1" s="8" t="inlineStr">
        <is>
          <t>KP volume</t>
        </is>
      </c>
      <c r="I1" s="8" t="inlineStr">
        <is>
          <t>Ranking URL</t>
        </is>
      </c>
      <c r="J1" s="8" t="inlineStr">
        <is>
          <t>Recommended action</t>
        </is>
      </c>
      <c r="K1" s="8" t="inlineStr">
        <is>
          <t>Why</t>
        </is>
      </c>
    </row>
    <row r="2">
      <c r="A2" s="9" t="inlineStr">
        <is>
          <t>Surrey</t>
        </is>
      </c>
      <c r="B2" s="9" t="inlineStr">
        <is>
          <t>boiler services surrey</t>
        </is>
      </c>
      <c r="C2" s="9" t="n">
        <v>1</v>
      </c>
      <c r="D2" s="9" t="n">
        <v>2</v>
      </c>
      <c r="E2" s="9" t="inlineStr">
        <is>
          <t>+1</t>
        </is>
      </c>
      <c r="F2" s="9" t="inlineStr">
        <is>
          <t>0</t>
        </is>
      </c>
      <c r="G2" s="9" t="n">
        <v>20</v>
      </c>
      <c r="H2" s="9" t="n">
        <v>10</v>
      </c>
      <c r="I2" s="9" t="inlineStr">
        <is>
          <t>/surrey-boiler-services/</t>
        </is>
      </c>
      <c r="J2" s="12" t="inlineStr">
        <is>
          <t>Keep</t>
        </is>
      </c>
      <c r="K2" s="11" t="inlineStr"/>
    </row>
    <row r="3">
      <c r="A3" s="9" t="inlineStr">
        <is>
          <t>Surrey</t>
        </is>
      </c>
      <c r="B3" s="9" t="inlineStr">
        <is>
          <t>gas fitter surrey</t>
        </is>
      </c>
      <c r="C3" s="9" t="n">
        <v>1</v>
      </c>
      <c r="D3" s="9" t="n">
        <v>1</v>
      </c>
      <c r="E3" s="9" t="inlineStr">
        <is>
          <t>0</t>
        </is>
      </c>
      <c r="F3" s="9" t="inlineStr">
        <is>
          <t>0</t>
        </is>
      </c>
      <c r="G3" s="9" t="n">
        <v>70</v>
      </c>
      <c r="H3" s="9" t="n">
        <v>70</v>
      </c>
      <c r="I3" s="9" t="inlineStr">
        <is>
          <t>/</t>
        </is>
      </c>
      <c r="J3" s="12" t="inlineStr">
        <is>
          <t>Keep</t>
        </is>
      </c>
      <c r="K3" s="11" t="inlineStr"/>
    </row>
    <row r="4">
      <c r="A4" s="9" t="inlineStr">
        <is>
          <t>Surrey</t>
        </is>
      </c>
      <c r="B4" s="9" t="inlineStr">
        <is>
          <t>gas line installation surrey</t>
        </is>
      </c>
      <c r="C4" s="9" t="n">
        <v>1</v>
      </c>
      <c r="D4" s="9" t="n">
        <v>5</v>
      </c>
      <c r="E4" s="9" t="inlineStr">
        <is>
          <t>+4</t>
        </is>
      </c>
      <c r="F4" s="9" t="inlineStr">
        <is>
          <t>+3</t>
        </is>
      </c>
      <c r="G4" s="9" t="n">
        <v>10</v>
      </c>
      <c r="H4" s="9" t="n">
        <v>10</v>
      </c>
      <c r="I4" s="9" t="inlineStr">
        <is>
          <t>/</t>
        </is>
      </c>
      <c r="J4" s="12" t="inlineStr">
        <is>
          <t>Keep</t>
        </is>
      </c>
      <c r="K4" s="11" t="inlineStr"/>
    </row>
    <row r="5">
      <c r="A5" s="9" t="inlineStr">
        <is>
          <t>Surrey</t>
        </is>
      </c>
      <c r="B5" s="9" t="inlineStr">
        <is>
          <t>boiler installation surrey</t>
        </is>
      </c>
      <c r="C5" s="9" t="n">
        <v>2</v>
      </c>
      <c r="D5" s="9" t="n">
        <v>3</v>
      </c>
      <c r="E5" s="9" t="inlineStr">
        <is>
          <t>+1</t>
        </is>
      </c>
      <c r="F5" s="9" t="inlineStr">
        <is>
          <t>+3</t>
        </is>
      </c>
      <c r="G5" s="9" t="n">
        <v>10</v>
      </c>
      <c r="H5" s="9" t="n">
        <v>20</v>
      </c>
      <c r="I5" s="9" t="inlineStr">
        <is>
          <t>/</t>
        </is>
      </c>
      <c r="J5" s="12" t="inlineStr">
        <is>
          <t>Keep</t>
        </is>
      </c>
      <c r="K5" s="11" t="inlineStr"/>
    </row>
    <row r="6">
      <c r="A6" s="9" t="inlineStr">
        <is>
          <t>Surrey</t>
        </is>
      </c>
      <c r="B6" s="9" t="inlineStr">
        <is>
          <t>in floor heating surrey</t>
        </is>
      </c>
      <c r="C6" s="9" t="n">
        <v>2</v>
      </c>
      <c r="D6" s="9" t="n">
        <v>5</v>
      </c>
      <c r="E6" s="9" t="inlineStr">
        <is>
          <t>+3</t>
        </is>
      </c>
      <c r="F6" s="9" t="inlineStr">
        <is>
          <t>-1</t>
        </is>
      </c>
      <c r="G6" s="9" t="n">
        <v>10</v>
      </c>
      <c r="H6" s="9" t="n">
        <v>10</v>
      </c>
      <c r="I6" s="9" t="inlineStr">
        <is>
          <t>/services/plumbing/radiant-in-floor-heating/</t>
        </is>
      </c>
      <c r="J6" s="12" t="inlineStr">
        <is>
          <t>Keep</t>
        </is>
      </c>
      <c r="K6" s="11" t="inlineStr"/>
    </row>
    <row r="7">
      <c r="A7" s="9" t="inlineStr">
        <is>
          <t>Surrey</t>
        </is>
      </c>
      <c r="B7" s="9" t="inlineStr">
        <is>
          <t>best plumber surrey</t>
        </is>
      </c>
      <c r="C7" s="9" t="n">
        <v>3</v>
      </c>
      <c r="D7" s="9" t="n">
        <v>2</v>
      </c>
      <c r="E7" s="9" t="inlineStr">
        <is>
          <t>-1</t>
        </is>
      </c>
      <c r="F7" s="9" t="inlineStr">
        <is>
          <t>0</t>
        </is>
      </c>
      <c r="G7" s="9" t="n">
        <v>20</v>
      </c>
      <c r="H7" s="9" t="n">
        <v>70</v>
      </c>
      <c r="I7" s="9" t="inlineStr">
        <is>
          <t>/</t>
        </is>
      </c>
      <c r="J7" s="12" t="inlineStr">
        <is>
          <t>Keep</t>
        </is>
      </c>
      <c r="K7" s="11" t="inlineStr"/>
    </row>
    <row r="8">
      <c r="A8" s="9" t="inlineStr">
        <is>
          <t>Surrey</t>
        </is>
      </c>
      <c r="B8" s="9" t="inlineStr">
        <is>
          <t>radiant heating surrey</t>
        </is>
      </c>
      <c r="C8" s="9" t="n">
        <v>3</v>
      </c>
      <c r="D8" s="9" t="n">
        <v>4</v>
      </c>
      <c r="E8" s="9" t="inlineStr">
        <is>
          <t>+1</t>
        </is>
      </c>
      <c r="F8" s="9" t="inlineStr">
        <is>
          <t>+1</t>
        </is>
      </c>
      <c r="G8" s="9" t="n">
        <v>10</v>
      </c>
      <c r="H8" s="9" t="n">
        <v>10</v>
      </c>
      <c r="I8" s="9" t="inlineStr">
        <is>
          <t>/</t>
        </is>
      </c>
      <c r="J8" s="12" t="inlineStr">
        <is>
          <t>Keep</t>
        </is>
      </c>
      <c r="K8" s="11" t="inlineStr"/>
    </row>
    <row r="9">
      <c r="A9" s="9" t="inlineStr">
        <is>
          <t>Surrey</t>
        </is>
      </c>
      <c r="B9" s="9" t="inlineStr">
        <is>
          <t>water heater south surrey</t>
        </is>
      </c>
      <c r="C9" s="9" t="n">
        <v>3</v>
      </c>
      <c r="D9" s="9" t="n">
        <v>10</v>
      </c>
      <c r="E9" s="9" t="inlineStr">
        <is>
          <t>+7</t>
        </is>
      </c>
      <c r="F9" s="9" t="inlineStr">
        <is>
          <t>+5</t>
        </is>
      </c>
      <c r="G9" s="9" t="n">
        <v>10</v>
      </c>
      <c r="H9" s="9" t="n">
        <v>10</v>
      </c>
      <c r="I9" s="9" t="inlineStr">
        <is>
          <t>/</t>
        </is>
      </c>
      <c r="J9" s="12" t="inlineStr">
        <is>
          <t>Keep</t>
        </is>
      </c>
      <c r="K9" s="11" t="inlineStr"/>
    </row>
    <row r="10">
      <c r="A10" s="9" t="inlineStr">
        <is>
          <t>Surrey</t>
        </is>
      </c>
      <c r="B10" s="9" t="inlineStr">
        <is>
          <t>furnace repair south surrey</t>
        </is>
      </c>
      <c r="C10" s="9" t="n">
        <v>4</v>
      </c>
      <c r="D10" s="9" t="n">
        <v>1</v>
      </c>
      <c r="E10" s="9" t="inlineStr">
        <is>
          <t>-3</t>
        </is>
      </c>
      <c r="F10" s="9" t="inlineStr">
        <is>
          <t>-3</t>
        </is>
      </c>
      <c r="G10" s="9" t="n">
        <v>20</v>
      </c>
      <c r="H10" s="9" t="n">
        <v>10</v>
      </c>
      <c r="I10" s="9" t="inlineStr">
        <is>
          <t>/services/heating-cooling/furnace-repair/</t>
        </is>
      </c>
      <c r="J10" s="12" t="inlineStr">
        <is>
          <t>Keep</t>
        </is>
      </c>
      <c r="K10" s="11" t="inlineStr"/>
    </row>
    <row r="11">
      <c r="A11" s="9" t="inlineStr">
        <is>
          <t>Surrey</t>
        </is>
      </c>
      <c r="B11" s="9" t="inlineStr">
        <is>
          <t>gas line installation services surrey</t>
        </is>
      </c>
      <c r="C11" s="9" t="n">
        <v>4</v>
      </c>
      <c r="D11" s="9" t="n">
        <v>2</v>
      </c>
      <c r="E11" s="9" t="inlineStr">
        <is>
          <t>-2</t>
        </is>
      </c>
      <c r="F11" s="9" t="inlineStr">
        <is>
          <t>0</t>
        </is>
      </c>
      <c r="G11" s="9" t="n">
        <v>10</v>
      </c>
      <c r="H11" s="9" t="n">
        <v>10</v>
      </c>
      <c r="I11" s="9" t="inlineStr">
        <is>
          <t>/services/gas-fitting/</t>
        </is>
      </c>
      <c r="J11" s="14" t="inlineStr">
        <is>
          <t>Remove</t>
        </is>
      </c>
      <c r="K11" s="11" t="inlineStr">
        <is>
          <t>Low volume: 3 markets combined = 10/mo (under 30)</t>
        </is>
      </c>
    </row>
    <row r="12">
      <c r="A12" s="9" t="inlineStr">
        <is>
          <t>Surrey</t>
        </is>
      </c>
      <c r="B12" s="9" t="inlineStr">
        <is>
          <t>plumbing and heating company surrey</t>
        </is>
      </c>
      <c r="C12" s="9" t="n">
        <v>4</v>
      </c>
      <c r="D12" s="9" t="n">
        <v>23</v>
      </c>
      <c r="E12" s="9" t="inlineStr">
        <is>
          <t>+19</t>
        </is>
      </c>
      <c r="F12" s="9" t="inlineStr">
        <is>
          <t>0</t>
        </is>
      </c>
      <c r="G12" s="9" t="n">
        <v>10</v>
      </c>
      <c r="H12" s="9" t="n">
        <v>10</v>
      </c>
      <c r="I12" s="9" t="inlineStr">
        <is>
          <t>/</t>
        </is>
      </c>
      <c r="J12" s="14" t="inlineStr">
        <is>
          <t>Remove</t>
        </is>
      </c>
      <c r="K12" s="11" t="inlineStr">
        <is>
          <t>Low volume: 3 markets combined = 20/mo (under 30)</t>
        </is>
      </c>
    </row>
    <row r="13">
      <c r="A13" s="9" t="inlineStr">
        <is>
          <t>Surrey</t>
        </is>
      </c>
      <c r="B13" s="9" t="inlineStr">
        <is>
          <t>hot water tank installation surrey</t>
        </is>
      </c>
      <c r="C13" s="9" t="n">
        <v>5</v>
      </c>
      <c r="D13" s="9" t="n">
        <v>5</v>
      </c>
      <c r="E13" s="9" t="inlineStr">
        <is>
          <t>0</t>
        </is>
      </c>
      <c r="F13" s="9" t="inlineStr">
        <is>
          <t>0</t>
        </is>
      </c>
      <c r="G13" s="9" t="n">
        <v>10</v>
      </c>
      <c r="H13" s="9" t="n">
        <v>20</v>
      </c>
      <c r="I13" s="9" t="inlineStr">
        <is>
          <t>/services/plumbing/hot-water-tanks/</t>
        </is>
      </c>
      <c r="J13" s="12" t="inlineStr">
        <is>
          <t>Keep</t>
        </is>
      </c>
      <c r="K13" s="11" t="inlineStr"/>
    </row>
    <row r="14">
      <c r="A14" s="9" t="inlineStr">
        <is>
          <t>Surrey</t>
        </is>
      </c>
      <c r="B14" s="9" t="inlineStr">
        <is>
          <t>hot water tank repair surrey</t>
        </is>
      </c>
      <c r="C14" s="9" t="n">
        <v>5</v>
      </c>
      <c r="D14" s="9" t="n">
        <v>5</v>
      </c>
      <c r="E14" s="9" t="inlineStr">
        <is>
          <t>0</t>
        </is>
      </c>
      <c r="F14" s="9" t="inlineStr">
        <is>
          <t>0</t>
        </is>
      </c>
      <c r="G14" s="9" t="n">
        <v>20</v>
      </c>
      <c r="H14" s="9" t="n">
        <v>30</v>
      </c>
      <c r="I14" s="9" t="inlineStr">
        <is>
          <t>/services/plumbing/hot-water-tanks/</t>
        </is>
      </c>
      <c r="J14" s="12" t="inlineStr">
        <is>
          <t>Keep</t>
        </is>
      </c>
      <c r="K14" s="11" t="inlineStr"/>
    </row>
    <row r="15">
      <c r="A15" s="9" t="inlineStr">
        <is>
          <t>Surrey</t>
        </is>
      </c>
      <c r="B15" s="9" t="inlineStr">
        <is>
          <t>hot water tank services surrey</t>
        </is>
      </c>
      <c r="C15" s="9" t="n">
        <v>5</v>
      </c>
      <c r="D15" s="9" t="n">
        <v>5</v>
      </c>
      <c r="E15" s="9" t="inlineStr">
        <is>
          <t>0</t>
        </is>
      </c>
      <c r="F15" s="9" t="inlineStr">
        <is>
          <t>0</t>
        </is>
      </c>
      <c r="G15" s="9" t="n">
        <v>10</v>
      </c>
      <c r="H15" s="9" t="n">
        <v>10</v>
      </c>
      <c r="I15" s="9" t="inlineStr">
        <is>
          <t>/services/plumbing/hot-water-tanks/</t>
        </is>
      </c>
      <c r="J15" s="12" t="inlineStr">
        <is>
          <t>Keep</t>
        </is>
      </c>
      <c r="K15" s="11" t="inlineStr"/>
    </row>
    <row r="16">
      <c r="A16" s="9" t="inlineStr">
        <is>
          <t>Surrey</t>
        </is>
      </c>
      <c r="B16" s="9" t="inlineStr">
        <is>
          <t>tankless water heater repair surrey</t>
        </is>
      </c>
      <c r="C16" s="9" t="n">
        <v>5</v>
      </c>
      <c r="D16" s="9" t="n">
        <v>6</v>
      </c>
      <c r="E16" s="9" t="inlineStr">
        <is>
          <t>+1</t>
        </is>
      </c>
      <c r="F16" s="9" t="inlineStr">
        <is>
          <t>+2</t>
        </is>
      </c>
      <c r="G16" s="9" t="n">
        <v>10</v>
      </c>
      <c r="H16" s="9" t="n">
        <v>10</v>
      </c>
      <c r="I16" s="9" t="inlineStr">
        <is>
          <t>/services/plumbing/tankless-water-heaters/</t>
        </is>
      </c>
      <c r="J16" s="12" t="inlineStr">
        <is>
          <t>Keep</t>
        </is>
      </c>
      <c r="K16" s="11" t="inlineStr"/>
    </row>
    <row r="17">
      <c r="A17" s="9" t="inlineStr">
        <is>
          <t>Surrey</t>
        </is>
      </c>
      <c r="B17" s="9" t="inlineStr">
        <is>
          <t>hot water tank replacement surrey</t>
        </is>
      </c>
      <c r="C17" s="9" t="n">
        <v>6</v>
      </c>
      <c r="D17" s="9" t="n">
        <v>6</v>
      </c>
      <c r="E17" s="9" t="inlineStr">
        <is>
          <t>0</t>
        </is>
      </c>
      <c r="F17" s="9" t="inlineStr">
        <is>
          <t>+18</t>
        </is>
      </c>
      <c r="G17" s="9" t="n">
        <v>30</v>
      </c>
      <c r="H17" s="9" t="n">
        <v>50</v>
      </c>
      <c r="I17" s="9" t="inlineStr">
        <is>
          <t>/services/plumbing/hot-water-tanks/</t>
        </is>
      </c>
      <c r="J17" s="12" t="inlineStr">
        <is>
          <t>Keep</t>
        </is>
      </c>
      <c r="K17" s="11" t="inlineStr"/>
    </row>
    <row r="18">
      <c r="A18" s="9" t="inlineStr">
        <is>
          <t>Surrey</t>
        </is>
      </c>
      <c r="B18" s="9" t="inlineStr">
        <is>
          <t>best plumbers in surrey</t>
        </is>
      </c>
      <c r="C18" s="9" t="n">
        <v>7</v>
      </c>
      <c r="D18" s="9" t="n">
        <v>7</v>
      </c>
      <c r="E18" s="9" t="inlineStr">
        <is>
          <t>0</t>
        </is>
      </c>
      <c r="F18" s="9" t="inlineStr">
        <is>
          <t>0</t>
        </is>
      </c>
      <c r="G18" s="9" t="n">
        <v>20</v>
      </c>
      <c r="H18" s="9" t="n"/>
      <c r="I18" s="9" t="inlineStr">
        <is>
          <t>/</t>
        </is>
      </c>
      <c r="J18" s="14" t="inlineStr">
        <is>
          <t>Remove</t>
        </is>
      </c>
      <c r="K18" s="11" t="inlineStr">
        <is>
          <t>Low volume: 3 markets combined = 20/mo (under 30)</t>
        </is>
      </c>
    </row>
    <row r="19">
      <c r="A19" s="9" t="inlineStr">
        <is>
          <t>Surrey</t>
        </is>
      </c>
      <c r="B19" s="9" t="inlineStr">
        <is>
          <t>furnace service surrey</t>
        </is>
      </c>
      <c r="C19" s="9" t="n">
        <v>8</v>
      </c>
      <c r="D19" s="9" t="n">
        <v>16</v>
      </c>
      <c r="E19" s="9" t="inlineStr">
        <is>
          <t>+8</t>
        </is>
      </c>
      <c r="F19" s="9" t="inlineStr">
        <is>
          <t>-3</t>
        </is>
      </c>
      <c r="G19" s="9" t="n">
        <v>110</v>
      </c>
      <c r="H19" s="9" t="n">
        <v>50</v>
      </c>
      <c r="I19" s="9" t="inlineStr">
        <is>
          <t>/services/heating-cooling/furnace-repair/</t>
        </is>
      </c>
      <c r="J19" s="12" t="inlineStr">
        <is>
          <t>Keep</t>
        </is>
      </c>
      <c r="K19" s="11" t="inlineStr"/>
    </row>
    <row r="20">
      <c r="A20" s="9" t="inlineStr">
        <is>
          <t>Surrey</t>
        </is>
      </c>
      <c r="B20" s="9" t="inlineStr">
        <is>
          <t>tankless water heater services surrey</t>
        </is>
      </c>
      <c r="C20" s="9" t="n">
        <v>9</v>
      </c>
      <c r="D20" s="9" t="n">
        <v>8</v>
      </c>
      <c r="E20" s="9" t="inlineStr">
        <is>
          <t>-1</t>
        </is>
      </c>
      <c r="F20" s="9" t="inlineStr">
        <is>
          <t>+4</t>
        </is>
      </c>
      <c r="G20" s="9" t="n">
        <v>10</v>
      </c>
      <c r="H20" s="9" t="n">
        <v>10</v>
      </c>
      <c r="I20" s="9" t="inlineStr">
        <is>
          <t>/services/plumbing/tankless-water-heaters/</t>
        </is>
      </c>
      <c r="J20" s="12" t="inlineStr">
        <is>
          <t>Keep</t>
        </is>
      </c>
      <c r="K20" s="11" t="inlineStr"/>
    </row>
    <row r="21">
      <c r="A21" s="9" t="inlineStr">
        <is>
          <t>Surrey</t>
        </is>
      </c>
      <c r="B21" s="9" t="inlineStr">
        <is>
          <t>plumbers in surrey bc</t>
        </is>
      </c>
      <c r="C21" s="9" t="n">
        <v>10</v>
      </c>
      <c r="D21" s="9" t="n">
        <v>23</v>
      </c>
      <c r="E21" s="9" t="inlineStr">
        <is>
          <t>+13</t>
        </is>
      </c>
      <c r="F21" s="9" t="inlineStr">
        <is>
          <t>0</t>
        </is>
      </c>
      <c r="G21" s="9" t="n">
        <v>210</v>
      </c>
      <c r="H21" s="9" t="n">
        <v>2400</v>
      </c>
      <c r="I21" s="9" t="inlineStr">
        <is>
          <t>/</t>
        </is>
      </c>
      <c r="J21" s="12" t="inlineStr">
        <is>
          <t>Keep</t>
        </is>
      </c>
      <c r="K21" s="11" t="inlineStr"/>
    </row>
    <row r="22">
      <c r="A22" s="9" t="inlineStr">
        <is>
          <t>Surrey</t>
        </is>
      </c>
      <c r="B22" s="9" t="inlineStr">
        <is>
          <t>plumbers surrey bc</t>
        </is>
      </c>
      <c r="C22" s="9" t="n">
        <v>10</v>
      </c>
      <c r="D22" s="9" t="n">
        <v>13</v>
      </c>
      <c r="E22" s="9" t="inlineStr">
        <is>
          <t>+3</t>
        </is>
      </c>
      <c r="F22" s="9" t="inlineStr">
        <is>
          <t>+1</t>
        </is>
      </c>
      <c r="G22" s="9" t="n">
        <v>210</v>
      </c>
      <c r="H22" s="9" t="n"/>
      <c r="I22" s="9" t="inlineStr">
        <is>
          <t>/</t>
        </is>
      </c>
      <c r="J22" s="12" t="inlineStr">
        <is>
          <t>Keep</t>
        </is>
      </c>
      <c r="K22" s="11" t="inlineStr"/>
    </row>
    <row r="23">
      <c r="A23" s="9" t="inlineStr">
        <is>
          <t>Surrey</t>
        </is>
      </c>
      <c r="B23" s="9" t="inlineStr">
        <is>
          <t>heat pump installation surrey</t>
        </is>
      </c>
      <c r="C23" s="9" t="n">
        <v>11</v>
      </c>
      <c r="D23" s="9" t="n">
        <v>7</v>
      </c>
      <c r="E23" s="9" t="inlineStr">
        <is>
          <t>-4</t>
        </is>
      </c>
      <c r="F23" s="9" t="inlineStr">
        <is>
          <t>-2</t>
        </is>
      </c>
      <c r="G23" s="9" t="n">
        <v>30</v>
      </c>
      <c r="H23" s="9" t="n">
        <v>70</v>
      </c>
      <c r="I23" s="9" t="inlineStr">
        <is>
          <t>/services/heating-cooling/heat-pumps/</t>
        </is>
      </c>
      <c r="J23" s="12" t="inlineStr">
        <is>
          <t>Keep</t>
        </is>
      </c>
      <c r="K23" s="11" t="inlineStr"/>
    </row>
    <row r="24">
      <c r="A24" s="9" t="inlineStr">
        <is>
          <t>Surrey</t>
        </is>
      </c>
      <c r="B24" s="9" t="inlineStr">
        <is>
          <t>tankless water heater maintenance surrey</t>
        </is>
      </c>
      <c r="C24" s="9" t="n">
        <v>11</v>
      </c>
      <c r="D24" s="9" t="n">
        <v>12</v>
      </c>
      <c r="E24" s="9" t="inlineStr">
        <is>
          <t>+1</t>
        </is>
      </c>
      <c r="F24" s="9" t="inlineStr">
        <is>
          <t>-7</t>
        </is>
      </c>
      <c r="G24" s="9" t="n">
        <v>10</v>
      </c>
      <c r="H24" s="9" t="n">
        <v>10</v>
      </c>
      <c r="I24" s="9" t="inlineStr">
        <is>
          <t>/services/plumbing/tankless-water-heaters/</t>
        </is>
      </c>
      <c r="J24" s="14" t="inlineStr">
        <is>
          <t>Remove</t>
        </is>
      </c>
      <c r="K24" s="11" t="inlineStr">
        <is>
          <t>Low volume: 3 markets combined = 20/mo (under 30)</t>
        </is>
      </c>
    </row>
    <row r="25">
      <c r="A25" s="9" t="inlineStr">
        <is>
          <t>Surrey</t>
        </is>
      </c>
      <c r="B25" s="9" t="inlineStr">
        <is>
          <t>plumber in surrey</t>
        </is>
      </c>
      <c r="C25" s="9" t="n">
        <v>12</v>
      </c>
      <c r="D25" s="9" t="n">
        <v>9</v>
      </c>
      <c r="E25" s="9" t="inlineStr">
        <is>
          <t>-3</t>
        </is>
      </c>
      <c r="F25" s="9" t="inlineStr">
        <is>
          <t>-2</t>
        </is>
      </c>
      <c r="G25" s="9" t="n">
        <v>1300</v>
      </c>
      <c r="H25" s="9" t="n">
        <v>2400</v>
      </c>
      <c r="I25" s="9" t="inlineStr">
        <is>
          <t>/</t>
        </is>
      </c>
      <c r="J25" s="12" t="inlineStr">
        <is>
          <t>Keep</t>
        </is>
      </c>
      <c r="K25" s="11" t="inlineStr"/>
    </row>
    <row r="26">
      <c r="A26" s="9" t="inlineStr">
        <is>
          <t>Surrey</t>
        </is>
      </c>
      <c r="B26" s="9" t="inlineStr">
        <is>
          <t>tankless water heater installation surrey</t>
        </is>
      </c>
      <c r="C26" s="9" t="n">
        <v>12</v>
      </c>
      <c r="D26" s="9" t="n">
        <v>24</v>
      </c>
      <c r="E26" s="9" t="inlineStr">
        <is>
          <t>+12</t>
        </is>
      </c>
      <c r="F26" s="9" t="inlineStr">
        <is>
          <t>-5</t>
        </is>
      </c>
      <c r="G26" s="9" t="n">
        <v>10</v>
      </c>
      <c r="H26" s="9" t="n">
        <v>20</v>
      </c>
      <c r="I26" s="9" t="inlineStr">
        <is>
          <t>/services/plumbing/tankless-water-heaters/</t>
        </is>
      </c>
      <c r="J26" s="12" t="inlineStr">
        <is>
          <t>Keep</t>
        </is>
      </c>
      <c r="K26" s="11" t="inlineStr"/>
    </row>
    <row r="27">
      <c r="A27" s="9" t="inlineStr">
        <is>
          <t>Surrey</t>
        </is>
      </c>
      <c r="B27" s="9" t="inlineStr">
        <is>
          <t>furnace installation surrey</t>
        </is>
      </c>
      <c r="C27" s="9" t="n">
        <v>13</v>
      </c>
      <c r="D27" s="9" t="n">
        <v>20</v>
      </c>
      <c r="E27" s="9" t="inlineStr">
        <is>
          <t>+7</t>
        </is>
      </c>
      <c r="F27" s="9" t="inlineStr">
        <is>
          <t>+8</t>
        </is>
      </c>
      <c r="G27" s="9" t="n">
        <v>20</v>
      </c>
      <c r="H27" s="9" t="n">
        <v>70</v>
      </c>
      <c r="I27" s="9" t="inlineStr">
        <is>
          <t>/services/heating-cooling/furnace-installation/</t>
        </is>
      </c>
      <c r="J27" s="12" t="inlineStr">
        <is>
          <t>Keep</t>
        </is>
      </c>
      <c r="K27" s="11" t="inlineStr"/>
    </row>
    <row r="28">
      <c r="A28" s="9" t="inlineStr">
        <is>
          <t>Surrey</t>
        </is>
      </c>
      <c r="B28" s="9" t="inlineStr">
        <is>
          <t>boiler repair surrey</t>
        </is>
      </c>
      <c r="C28" s="9" t="n">
        <v>14</v>
      </c>
      <c r="D28" s="9" t="n">
        <v>16</v>
      </c>
      <c r="E28" s="9" t="inlineStr">
        <is>
          <t>+2</t>
        </is>
      </c>
      <c r="F28" s="9" t="inlineStr">
        <is>
          <t>+1</t>
        </is>
      </c>
      <c r="G28" s="9" t="n">
        <v>30</v>
      </c>
      <c r="H28" s="9" t="n">
        <v>40</v>
      </c>
      <c r="I28" s="9" t="inlineStr">
        <is>
          <t>/surrey-boiler-services/</t>
        </is>
      </c>
      <c r="J28" s="12" t="inlineStr">
        <is>
          <t>Keep</t>
        </is>
      </c>
      <c r="K28" s="11" t="inlineStr"/>
    </row>
    <row r="29">
      <c r="A29" s="9" t="inlineStr">
        <is>
          <t>Surrey</t>
        </is>
      </c>
      <c r="B29" s="9" t="inlineStr">
        <is>
          <t>plumber surrey</t>
        </is>
      </c>
      <c r="C29" s="9" t="n">
        <v>14</v>
      </c>
      <c r="D29" s="9" t="n">
        <v>14</v>
      </c>
      <c r="E29" s="9" t="inlineStr">
        <is>
          <t>0</t>
        </is>
      </c>
      <c r="F29" s="9" t="inlineStr">
        <is>
          <t>+11</t>
        </is>
      </c>
      <c r="G29" s="9" t="n">
        <v>1300</v>
      </c>
      <c r="H29" s="9" t="n"/>
      <c r="I29" s="9" t="inlineStr">
        <is>
          <t>/</t>
        </is>
      </c>
      <c r="J29" s="12" t="inlineStr">
        <is>
          <t>Keep</t>
        </is>
      </c>
      <c r="K29" s="11" t="inlineStr"/>
    </row>
    <row r="30">
      <c r="A30" s="9" t="inlineStr">
        <is>
          <t>Surrey</t>
        </is>
      </c>
      <c r="B30" s="9" t="inlineStr">
        <is>
          <t>plumbers surrey</t>
        </is>
      </c>
      <c r="C30" s="9" t="n">
        <v>15</v>
      </c>
      <c r="D30" s="9" t="n">
        <v>13</v>
      </c>
      <c r="E30" s="9" t="inlineStr">
        <is>
          <t>-2</t>
        </is>
      </c>
      <c r="F30" s="9" t="inlineStr">
        <is>
          <t>-6</t>
        </is>
      </c>
      <c r="G30" s="9" t="n">
        <v>1300</v>
      </c>
      <c r="H30" s="9" t="n"/>
      <c r="I30" s="9" t="inlineStr">
        <is>
          <t>/</t>
        </is>
      </c>
      <c r="J30" s="12" t="inlineStr">
        <is>
          <t>Keep</t>
        </is>
      </c>
      <c r="K30" s="11" t="inlineStr"/>
    </row>
    <row r="31">
      <c r="A31" s="9" t="inlineStr">
        <is>
          <t>Surrey</t>
        </is>
      </c>
      <c r="B31" s="9" t="inlineStr">
        <is>
          <t>heating services surrey</t>
        </is>
      </c>
      <c r="C31" s="9" t="n">
        <v>17</v>
      </c>
      <c r="D31" s="9" t="n">
        <v>17</v>
      </c>
      <c r="E31" s="9" t="inlineStr">
        <is>
          <t>0</t>
        </is>
      </c>
      <c r="F31" s="9" t="inlineStr">
        <is>
          <t>-3</t>
        </is>
      </c>
      <c r="G31" s="9" t="n">
        <v>10</v>
      </c>
      <c r="H31" s="9" t="n">
        <v>10</v>
      </c>
      <c r="I31" s="9" t="inlineStr">
        <is>
          <t>/</t>
        </is>
      </c>
      <c r="J31" s="14" t="inlineStr">
        <is>
          <t>Remove</t>
        </is>
      </c>
      <c r="K31" s="11" t="inlineStr">
        <is>
          <t>Low volume: 3 markets combined = 20/mo (under 30)</t>
        </is>
      </c>
    </row>
    <row r="32">
      <c r="A32" s="9" t="inlineStr">
        <is>
          <t>Surrey</t>
        </is>
      </c>
      <c r="B32" s="9" t="inlineStr">
        <is>
          <t>plumbing company surrey</t>
        </is>
      </c>
      <c r="C32" s="9" t="n">
        <v>17</v>
      </c>
      <c r="D32" s="9" t="n">
        <v>17</v>
      </c>
      <c r="E32" s="9" t="inlineStr">
        <is>
          <t>0</t>
        </is>
      </c>
      <c r="F32" s="9" t="inlineStr">
        <is>
          <t>+4</t>
        </is>
      </c>
      <c r="G32" s="9" t="n">
        <v>110</v>
      </c>
      <c r="H32" s="9" t="n">
        <v>260</v>
      </c>
      <c r="I32" s="9" t="inlineStr">
        <is>
          <t>/</t>
        </is>
      </c>
      <c r="J32" s="12" t="inlineStr">
        <is>
          <t>Keep</t>
        </is>
      </c>
      <c r="K32" s="11" t="inlineStr"/>
    </row>
    <row r="33">
      <c r="A33" s="9" t="inlineStr">
        <is>
          <t>Surrey</t>
        </is>
      </c>
      <c r="B33" s="9" t="inlineStr">
        <is>
          <t>plumbing services surrey</t>
        </is>
      </c>
      <c r="C33" s="9" t="n">
        <v>17</v>
      </c>
      <c r="D33" s="9" t="n">
        <v>27</v>
      </c>
      <c r="E33" s="9" t="inlineStr">
        <is>
          <t>+10</t>
        </is>
      </c>
      <c r="F33" s="9" t="inlineStr">
        <is>
          <t>-4</t>
        </is>
      </c>
      <c r="G33" s="9" t="n">
        <v>90</v>
      </c>
      <c r="H33" s="9" t="n">
        <v>170</v>
      </c>
      <c r="I33" s="9" t="inlineStr">
        <is>
          <t>/</t>
        </is>
      </c>
      <c r="J33" s="12" t="inlineStr">
        <is>
          <t>Keep</t>
        </is>
      </c>
      <c r="K33" s="11" t="inlineStr"/>
    </row>
    <row r="34">
      <c r="A34" s="9" t="inlineStr">
        <is>
          <t>Surrey</t>
        </is>
      </c>
      <c r="B34" s="9" t="inlineStr">
        <is>
          <t>furnace services surrey</t>
        </is>
      </c>
      <c r="C34" s="9" t="n">
        <v>19</v>
      </c>
      <c r="D34" s="9" t="n">
        <v>17</v>
      </c>
      <c r="E34" s="9" t="inlineStr">
        <is>
          <t>-2</t>
        </is>
      </c>
      <c r="F34" s="9" t="inlineStr">
        <is>
          <t>-4</t>
        </is>
      </c>
      <c r="G34" s="9" t="n">
        <v>110</v>
      </c>
      <c r="H34" s="9" t="n"/>
      <c r="I34" s="9" t="inlineStr">
        <is>
          <t>/services/heating-cooling/furnace-repair/</t>
        </is>
      </c>
      <c r="J34" s="12" t="inlineStr">
        <is>
          <t>Keep</t>
        </is>
      </c>
      <c r="K34" s="11" t="inlineStr"/>
    </row>
    <row r="35">
      <c r="A35" s="9" t="inlineStr">
        <is>
          <t>Surrey</t>
        </is>
      </c>
      <c r="B35" s="9" t="inlineStr">
        <is>
          <t>air conditioner surrey</t>
        </is>
      </c>
      <c r="C35" s="9" t="n">
        <v>22</v>
      </c>
      <c r="D35" s="9" t="n">
        <v>48</v>
      </c>
      <c r="E35" s="9" t="inlineStr">
        <is>
          <t>+26</t>
        </is>
      </c>
      <c r="F35" s="9" t="inlineStr">
        <is>
          <t>+9</t>
        </is>
      </c>
      <c r="G35" s="9" t="n">
        <v>110</v>
      </c>
      <c r="H35" s="9" t="n">
        <v>20</v>
      </c>
      <c r="I35" s="9" t="inlineStr">
        <is>
          <t>/services/heating-cooling/air-conditioning/</t>
        </is>
      </c>
      <c r="J35" s="12" t="inlineStr">
        <is>
          <t>Keep</t>
        </is>
      </c>
      <c r="K35" s="11" t="inlineStr"/>
    </row>
    <row r="36">
      <c r="A36" s="9" t="inlineStr">
        <is>
          <t>Surrey</t>
        </is>
      </c>
      <c r="B36" s="9" t="inlineStr">
        <is>
          <t>heating installation surrey</t>
        </is>
      </c>
      <c r="C36" s="9" t="n">
        <v>26</v>
      </c>
      <c r="D36" s="9" t="n">
        <v>16</v>
      </c>
      <c r="E36" s="9" t="inlineStr">
        <is>
          <t>-10</t>
        </is>
      </c>
      <c r="F36" s="9" t="inlineStr">
        <is>
          <t>-14</t>
        </is>
      </c>
      <c r="G36" s="9" t="n">
        <v>10</v>
      </c>
      <c r="H36" s="9" t="n">
        <v>10</v>
      </c>
      <c r="I36" s="9" t="inlineStr">
        <is>
          <t>/</t>
        </is>
      </c>
      <c r="J36" s="12" t="inlineStr">
        <is>
          <t>Keep</t>
        </is>
      </c>
      <c r="K36" s="11" t="inlineStr"/>
    </row>
    <row r="37">
      <c r="A37" s="9" t="inlineStr">
        <is>
          <t>Surrey</t>
        </is>
      </c>
      <c r="B37" s="9" t="inlineStr">
        <is>
          <t>plumbing and heating surrey</t>
        </is>
      </c>
      <c r="C37" s="9" t="n">
        <v>26</v>
      </c>
      <c r="D37" s="9" t="n">
        <v>7</v>
      </c>
      <c r="E37" s="9" t="inlineStr">
        <is>
          <t>-19</t>
        </is>
      </c>
      <c r="F37" s="9" t="inlineStr">
        <is>
          <t>-17</t>
        </is>
      </c>
      <c r="G37" s="9" t="n">
        <v>90</v>
      </c>
      <c r="H37" s="9" t="n">
        <v>90</v>
      </c>
      <c r="I37" s="9" t="inlineStr">
        <is>
          <t>/</t>
        </is>
      </c>
      <c r="J37" s="12" t="inlineStr">
        <is>
          <t>Keep</t>
        </is>
      </c>
      <c r="K37" s="11" t="inlineStr"/>
    </row>
    <row r="38">
      <c r="A38" s="9" t="inlineStr">
        <is>
          <t>Surrey</t>
        </is>
      </c>
      <c r="B38" s="9" t="inlineStr">
        <is>
          <t>furnace repair surrey</t>
        </is>
      </c>
      <c r="C38" s="9" t="n">
        <v>31</v>
      </c>
      <c r="D38" s="9" t="n">
        <v>13</v>
      </c>
      <c r="E38" s="9" t="inlineStr">
        <is>
          <t>-18</t>
        </is>
      </c>
      <c r="F38" s="9" t="inlineStr">
        <is>
          <t>-22</t>
        </is>
      </c>
      <c r="G38" s="9" t="n">
        <v>590</v>
      </c>
      <c r="H38" s="9" t="n">
        <v>390</v>
      </c>
      <c r="I38" s="9" t="inlineStr">
        <is>
          <t>/services/heating-cooling/furnace-repair/</t>
        </is>
      </c>
      <c r="J38" s="12" t="inlineStr">
        <is>
          <t>Keep</t>
        </is>
      </c>
      <c r="K38" s="11" t="inlineStr"/>
    </row>
    <row r="39">
      <c r="A39" s="9" t="inlineStr">
        <is>
          <t>Surrey</t>
        </is>
      </c>
      <c r="B39" s="9" t="inlineStr">
        <is>
          <t>heating service surrey</t>
        </is>
      </c>
      <c r="C39" s="9" t="n">
        <v>32</v>
      </c>
      <c r="D39" s="9" t="n">
        <v>15</v>
      </c>
      <c r="E39" s="9" t="inlineStr">
        <is>
          <t>-17</t>
        </is>
      </c>
      <c r="F39" s="9" t="inlineStr">
        <is>
          <t>-16</t>
        </is>
      </c>
      <c r="G39" s="9" t="n">
        <v>10</v>
      </c>
      <c r="H39" s="9" t="n"/>
      <c r="I39" s="9" t="inlineStr">
        <is>
          <t>/</t>
        </is>
      </c>
      <c r="J39" s="12" t="inlineStr">
        <is>
          <t>Keep</t>
        </is>
      </c>
      <c r="K39" s="11" t="inlineStr"/>
    </row>
    <row r="40">
      <c r="A40" s="9" t="inlineStr">
        <is>
          <t>Surrey</t>
        </is>
      </c>
      <c r="B40" s="9" t="inlineStr">
        <is>
          <t>surrey air conditioning</t>
        </is>
      </c>
      <c r="C40" s="9" t="n">
        <v>41</v>
      </c>
      <c r="D40" s="9" t="n">
        <v>36</v>
      </c>
      <c r="E40" s="9" t="inlineStr">
        <is>
          <t>-5</t>
        </is>
      </c>
      <c r="F40" s="9" t="inlineStr">
        <is>
          <t>-8</t>
        </is>
      </c>
      <c r="G40" s="9" t="n">
        <v>110</v>
      </c>
      <c r="H40" s="9" t="n"/>
      <c r="I40" s="9" t="inlineStr">
        <is>
          <t>/services/heating-cooling/air-conditioning/</t>
        </is>
      </c>
      <c r="J40" s="12" t="inlineStr">
        <is>
          <t>Keep</t>
        </is>
      </c>
      <c r="K40" s="11" t="inlineStr"/>
    </row>
    <row r="41">
      <c r="A41" s="9" t="inlineStr">
        <is>
          <t>Surrey</t>
        </is>
      </c>
      <c r="B41" s="9" t="inlineStr">
        <is>
          <t>air conditioning services surrey</t>
        </is>
      </c>
      <c r="C41" s="9" t="n">
        <v>54</v>
      </c>
      <c r="D41" s="9" t="n">
        <v>43</v>
      </c>
      <c r="E41" s="9" t="inlineStr">
        <is>
          <t>-11</t>
        </is>
      </c>
      <c r="F41" s="9" t="inlineStr">
        <is>
          <t>-14</t>
        </is>
      </c>
      <c r="G41" s="9" t="n">
        <v>10</v>
      </c>
      <c r="H41" s="9" t="n">
        <v>10</v>
      </c>
      <c r="I41" s="9" t="inlineStr">
        <is>
          <t>/services/heating-cooling/air-conditioning/</t>
        </is>
      </c>
      <c r="J41" s="14" t="inlineStr">
        <is>
          <t>Remove</t>
        </is>
      </c>
      <c r="K41" s="11" t="inlineStr">
        <is>
          <t>Low volume: 3 markets combined = 20/mo (under 30)</t>
        </is>
      </c>
    </row>
    <row r="42">
      <c r="A42" s="9" t="inlineStr">
        <is>
          <t>Surrey</t>
        </is>
      </c>
      <c r="B42" s="9" t="inlineStr">
        <is>
          <t>air conditioning repair surrey</t>
        </is>
      </c>
      <c r="C42" s="9" t="n"/>
      <c r="D42" s="9" t="n"/>
      <c r="E42" s="9" t="n"/>
      <c r="F42" s="9" t="inlineStr">
        <is>
          <t>0</t>
        </is>
      </c>
      <c r="G42" s="9" t="n">
        <v>20</v>
      </c>
      <c r="H42" s="9" t="n">
        <v>110</v>
      </c>
      <c r="I42" s="9" t="n"/>
      <c r="J42" s="12" t="inlineStr">
        <is>
          <t>Keep</t>
        </is>
      </c>
      <c r="K42" s="11" t="inlineStr"/>
    </row>
    <row r="43">
      <c r="A43" s="9" t="inlineStr">
        <is>
          <t>Surrey</t>
        </is>
      </c>
      <c r="B43" s="9" t="inlineStr">
        <is>
          <t>plumber south surrey</t>
        </is>
      </c>
      <c r="C43" s="9" t="n"/>
      <c r="D43" s="9" t="n">
        <v>3</v>
      </c>
      <c r="E43" s="9" t="inlineStr">
        <is>
          <t>lost</t>
        </is>
      </c>
      <c r="F43" s="9" t="inlineStr">
        <is>
          <t>-97</t>
        </is>
      </c>
      <c r="G43" s="9" t="n">
        <v>170</v>
      </c>
      <c r="H43" s="9" t="n">
        <v>210</v>
      </c>
      <c r="I43" s="9" t="inlineStr">
        <is>
          <t>/</t>
        </is>
      </c>
      <c r="J43" s="12" t="inlineStr">
        <is>
          <t>Keep</t>
        </is>
      </c>
      <c r="K43" s="11" t="inlineStr"/>
    </row>
    <row r="44">
      <c r="A44" s="9" t="inlineStr">
        <is>
          <t>Surrey</t>
        </is>
      </c>
      <c r="B44" s="9" t="inlineStr">
        <is>
          <t>south surrey plumbing</t>
        </is>
      </c>
      <c r="C44" s="9" t="n"/>
      <c r="D44" s="9" t="n"/>
      <c r="E44" s="9" t="n"/>
      <c r="F44" s="9" t="inlineStr">
        <is>
          <t>-64</t>
        </is>
      </c>
      <c r="G44" s="9" t="n">
        <v>170</v>
      </c>
      <c r="H44" s="9" t="n"/>
      <c r="I44" s="9" t="n"/>
      <c r="J44" s="12" t="inlineStr">
        <is>
          <t>Keep</t>
        </is>
      </c>
      <c r="K44" s="11" t="inlineStr"/>
    </row>
    <row r="45">
      <c r="A45" s="9" t="inlineStr">
        <is>
          <t>Surrey</t>
        </is>
      </c>
      <c r="B45" s="9" t="inlineStr">
        <is>
          <t>surrey plumbing</t>
        </is>
      </c>
      <c r="C45" s="9" t="n"/>
      <c r="D45" s="9" t="n"/>
      <c r="E45" s="9" t="n"/>
      <c r="F45" s="9" t="inlineStr">
        <is>
          <t>0</t>
        </is>
      </c>
      <c r="G45" s="9" t="n">
        <v>1300</v>
      </c>
      <c r="H45" s="9" t="n"/>
      <c r="I45" s="9" t="n"/>
      <c r="J45" s="12" t="inlineStr">
        <is>
          <t>Keep</t>
        </is>
      </c>
      <c r="K45" s="11" t="inlineStr"/>
    </row>
    <row r="46">
      <c r="A46" s="9" t="inlineStr">
        <is>
          <t>White Rock</t>
        </is>
      </c>
      <c r="B46" s="9" t="inlineStr">
        <is>
          <t>radiant heating white rock</t>
        </is>
      </c>
      <c r="C46" s="9" t="n">
        <v>1</v>
      </c>
      <c r="D46" s="9" t="n">
        <v>7</v>
      </c>
      <c r="E46" s="9" t="inlineStr">
        <is>
          <t>+6</t>
        </is>
      </c>
      <c r="F46" s="9" t="inlineStr">
        <is>
          <t>0</t>
        </is>
      </c>
      <c r="G46" s="9" t="n">
        <v>10</v>
      </c>
      <c r="H46" s="9" t="n">
        <v>10</v>
      </c>
      <c r="I46" s="9" t="inlineStr">
        <is>
          <t>/services/plumbing/radiant-in-floor-heating/</t>
        </is>
      </c>
      <c r="J46" s="12" t="inlineStr">
        <is>
          <t>Keep</t>
        </is>
      </c>
      <c r="K46" s="11" t="inlineStr"/>
    </row>
    <row r="47">
      <c r="A47" s="9" t="inlineStr">
        <is>
          <t>White Rock</t>
        </is>
      </c>
      <c r="B47" s="9" t="inlineStr">
        <is>
          <t>plumbing and heating white rock</t>
        </is>
      </c>
      <c r="C47" s="9" t="n">
        <v>3</v>
      </c>
      <c r="D47" s="9" t="n">
        <v>3</v>
      </c>
      <c r="E47" s="9" t="inlineStr">
        <is>
          <t>0</t>
        </is>
      </c>
      <c r="F47" s="9" t="inlineStr">
        <is>
          <t>+2</t>
        </is>
      </c>
      <c r="G47" s="9" t="n">
        <v>20</v>
      </c>
      <c r="H47" s="9" t="n">
        <v>10</v>
      </c>
      <c r="I47" s="9" t="inlineStr">
        <is>
          <t>/</t>
        </is>
      </c>
      <c r="J47" s="12" t="inlineStr">
        <is>
          <t>Keep</t>
        </is>
      </c>
      <c r="K47" s="11" t="inlineStr"/>
    </row>
    <row r="48">
      <c r="A48" s="9" t="inlineStr">
        <is>
          <t>White Rock</t>
        </is>
      </c>
      <c r="B48" s="9" t="inlineStr">
        <is>
          <t>in floor heating white rock</t>
        </is>
      </c>
      <c r="C48" s="9" t="n">
        <v>4</v>
      </c>
      <c r="D48" s="9" t="n">
        <v>5</v>
      </c>
      <c r="E48" s="9" t="inlineStr">
        <is>
          <t>+1</t>
        </is>
      </c>
      <c r="F48" s="9" t="inlineStr">
        <is>
          <t>-3</t>
        </is>
      </c>
      <c r="G48" s="9" t="n">
        <v>10</v>
      </c>
      <c r="H48" s="9" t="n">
        <v>10</v>
      </c>
      <c r="I48" s="9" t="inlineStr">
        <is>
          <t>/services/plumbing/radiant-in-floor-heating/</t>
        </is>
      </c>
      <c r="J48" s="12" t="inlineStr">
        <is>
          <t>Keep</t>
        </is>
      </c>
      <c r="K48" s="11" t="inlineStr"/>
    </row>
    <row r="49">
      <c r="A49" s="9" t="inlineStr">
        <is>
          <t>White Rock</t>
        </is>
      </c>
      <c r="B49" s="9" t="inlineStr">
        <is>
          <t>boiler repair white rock</t>
        </is>
      </c>
      <c r="C49" s="9" t="n">
        <v>5</v>
      </c>
      <c r="D49" s="9" t="n">
        <v>5</v>
      </c>
      <c r="E49" s="9" t="inlineStr">
        <is>
          <t>0</t>
        </is>
      </c>
      <c r="F49" s="9" t="inlineStr">
        <is>
          <t>0</t>
        </is>
      </c>
      <c r="G49" s="9" t="n">
        <v>10</v>
      </c>
      <c r="H49" s="9" t="n">
        <v>10</v>
      </c>
      <c r="I49" s="9" t="inlineStr">
        <is>
          <t>/white-rock-plumbing/</t>
        </is>
      </c>
      <c r="J49" s="12" t="inlineStr">
        <is>
          <t>Keep</t>
        </is>
      </c>
      <c r="K49" s="11" t="inlineStr"/>
    </row>
    <row r="50">
      <c r="A50" s="9" t="inlineStr">
        <is>
          <t>White Rock</t>
        </is>
      </c>
      <c r="B50" s="9" t="inlineStr">
        <is>
          <t>plumber white rock</t>
        </is>
      </c>
      <c r="C50" s="9" t="n">
        <v>6</v>
      </c>
      <c r="D50" s="9" t="n">
        <v>6</v>
      </c>
      <c r="E50" s="9" t="inlineStr">
        <is>
          <t>0</t>
        </is>
      </c>
      <c r="F50" s="9" t="inlineStr">
        <is>
          <t>+2</t>
        </is>
      </c>
      <c r="G50" s="9" t="n">
        <v>390</v>
      </c>
      <c r="H50" s="9" t="n">
        <v>210</v>
      </c>
      <c r="I50" s="9" t="inlineStr">
        <is>
          <t>/white-rock-plumbing/</t>
        </is>
      </c>
      <c r="J50" s="12" t="inlineStr">
        <is>
          <t>Keep</t>
        </is>
      </c>
      <c r="K50" s="11" t="inlineStr"/>
    </row>
    <row r="51">
      <c r="A51" s="9" t="inlineStr">
        <is>
          <t>White Rock</t>
        </is>
      </c>
      <c r="B51" s="9" t="inlineStr">
        <is>
          <t>plumbing services white rock</t>
        </is>
      </c>
      <c r="C51" s="9" t="n">
        <v>6</v>
      </c>
      <c r="D51" s="9" t="n">
        <v>6</v>
      </c>
      <c r="E51" s="9" t="inlineStr">
        <is>
          <t>0</t>
        </is>
      </c>
      <c r="F51" s="9" t="inlineStr">
        <is>
          <t>+1</t>
        </is>
      </c>
      <c r="G51" s="9" t="n">
        <v>10</v>
      </c>
      <c r="H51" s="9" t="n">
        <v>10</v>
      </c>
      <c r="I51" s="9" t="inlineStr">
        <is>
          <t>/white-rock-plumbing/</t>
        </is>
      </c>
      <c r="J51" s="12" t="inlineStr">
        <is>
          <t>Keep</t>
        </is>
      </c>
      <c r="K51" s="11" t="inlineStr"/>
    </row>
    <row r="52">
      <c r="A52" s="9" t="inlineStr">
        <is>
          <t>White Rock</t>
        </is>
      </c>
      <c r="B52" s="9" t="inlineStr">
        <is>
          <t>white rock plumbing</t>
        </is>
      </c>
      <c r="C52" s="9" t="n">
        <v>6</v>
      </c>
      <c r="D52" s="9" t="n">
        <v>3</v>
      </c>
      <c r="E52" s="9" t="inlineStr">
        <is>
          <t>-3</t>
        </is>
      </c>
      <c r="F52" s="9" t="inlineStr">
        <is>
          <t>0</t>
        </is>
      </c>
      <c r="G52" s="9" t="n">
        <v>390</v>
      </c>
      <c r="H52" s="9" t="n"/>
      <c r="I52" s="9" t="inlineStr">
        <is>
          <t>/white-rock-plumbing/</t>
        </is>
      </c>
      <c r="J52" s="12" t="inlineStr">
        <is>
          <t>Keep</t>
        </is>
      </c>
      <c r="K52" s="11" t="inlineStr"/>
    </row>
    <row r="53">
      <c r="A53" s="9" t="inlineStr">
        <is>
          <t>White Rock</t>
        </is>
      </c>
      <c r="B53" s="9" t="inlineStr">
        <is>
          <t>plumbers white rock bc</t>
        </is>
      </c>
      <c r="C53" s="9" t="n">
        <v>7</v>
      </c>
      <c r="D53" s="9" t="n">
        <v>7</v>
      </c>
      <c r="E53" s="9" t="inlineStr">
        <is>
          <t>0</t>
        </is>
      </c>
      <c r="F53" s="9" t="inlineStr">
        <is>
          <t>0</t>
        </is>
      </c>
      <c r="G53" s="9" t="n">
        <v>20</v>
      </c>
      <c r="H53" s="9" t="n">
        <v>10</v>
      </c>
      <c r="I53" s="9" t="inlineStr">
        <is>
          <t>/white-rock-plumbing/</t>
        </is>
      </c>
      <c r="J53" s="12" t="inlineStr">
        <is>
          <t>Keep</t>
        </is>
      </c>
      <c r="K53" s="11" t="inlineStr"/>
    </row>
    <row r="54">
      <c r="A54" s="9" t="inlineStr">
        <is>
          <t>White Rock</t>
        </is>
      </c>
      <c r="B54" s="9" t="inlineStr">
        <is>
          <t>heat pump installation white rock</t>
        </is>
      </c>
      <c r="C54" s="9" t="n">
        <v>8</v>
      </c>
      <c r="D54" s="9" t="n">
        <v>8</v>
      </c>
      <c r="E54" s="9" t="inlineStr">
        <is>
          <t>0</t>
        </is>
      </c>
      <c r="F54" s="9" t="inlineStr">
        <is>
          <t>0</t>
        </is>
      </c>
      <c r="G54" s="9" t="n">
        <v>10</v>
      </c>
      <c r="H54" s="9" t="n">
        <v>10</v>
      </c>
      <c r="I54" s="9" t="inlineStr">
        <is>
          <t>/services/heating-cooling/heat-pumps/</t>
        </is>
      </c>
      <c r="J54" s="12" t="inlineStr">
        <is>
          <t>Keep</t>
        </is>
      </c>
      <c r="K54" s="11" t="inlineStr"/>
    </row>
    <row r="55">
      <c r="A55" s="9" t="inlineStr">
        <is>
          <t>White Rock</t>
        </is>
      </c>
      <c r="B55" s="9" t="inlineStr">
        <is>
          <t>gas fitter white rock</t>
        </is>
      </c>
      <c r="C55" s="9" t="n">
        <v>9</v>
      </c>
      <c r="D55" s="9" t="n">
        <v>7</v>
      </c>
      <c r="E55" s="9" t="inlineStr">
        <is>
          <t>-2</t>
        </is>
      </c>
      <c r="F55" s="9" t="inlineStr">
        <is>
          <t>0</t>
        </is>
      </c>
      <c r="G55" s="9" t="n">
        <v>10</v>
      </c>
      <c r="H55" s="9" t="n">
        <v>10</v>
      </c>
      <c r="I55" s="9" t="inlineStr">
        <is>
          <t>/white-rock-plumbing/</t>
        </is>
      </c>
      <c r="J55" s="12" t="inlineStr">
        <is>
          <t>Keep</t>
        </is>
      </c>
      <c r="K55" s="11" t="inlineStr"/>
    </row>
    <row r="56">
      <c r="A56" s="9" t="inlineStr">
        <is>
          <t>White Rock</t>
        </is>
      </c>
      <c r="B56" s="9" t="inlineStr">
        <is>
          <t>hot water tank replacement white rock</t>
        </is>
      </c>
      <c r="C56" s="9" t="n">
        <v>9</v>
      </c>
      <c r="D56" s="9" t="n">
        <v>8</v>
      </c>
      <c r="E56" s="9" t="inlineStr">
        <is>
          <t>-1</t>
        </is>
      </c>
      <c r="F56" s="9" t="inlineStr">
        <is>
          <t>0</t>
        </is>
      </c>
      <c r="G56" s="9" t="n">
        <v>10</v>
      </c>
      <c r="H56" s="9" t="n">
        <v>10</v>
      </c>
      <c r="I56" s="9" t="inlineStr">
        <is>
          <t>/services/plumbing/hot-water-tanks/</t>
        </is>
      </c>
      <c r="J56" s="12" t="inlineStr">
        <is>
          <t>Keep</t>
        </is>
      </c>
      <c r="K56" s="11" t="inlineStr"/>
    </row>
    <row r="57">
      <c r="A57" s="9" t="inlineStr">
        <is>
          <t>White Rock</t>
        </is>
      </c>
      <c r="B57" s="9" t="inlineStr">
        <is>
          <t>plumber in white rock</t>
        </is>
      </c>
      <c r="C57" s="9" t="n">
        <v>9</v>
      </c>
      <c r="D57" s="9" t="n">
        <v>11</v>
      </c>
      <c r="E57" s="9" t="inlineStr">
        <is>
          <t>+2</t>
        </is>
      </c>
      <c r="F57" s="9" t="inlineStr">
        <is>
          <t>-1</t>
        </is>
      </c>
      <c r="G57" s="9" t="n">
        <v>390</v>
      </c>
      <c r="H57" s="9" t="n"/>
      <c r="I57" s="9" t="inlineStr">
        <is>
          <t>/white-rock-plumbing/</t>
        </is>
      </c>
      <c r="J57" s="12" t="inlineStr">
        <is>
          <t>Keep</t>
        </is>
      </c>
      <c r="K57" s="11" t="inlineStr"/>
    </row>
    <row r="58">
      <c r="A58" s="9" t="inlineStr">
        <is>
          <t>White Rock</t>
        </is>
      </c>
      <c r="B58" s="9" t="inlineStr">
        <is>
          <t>plumbers white rock</t>
        </is>
      </c>
      <c r="C58" s="9" t="n">
        <v>9</v>
      </c>
      <c r="D58" s="9" t="n">
        <v>9</v>
      </c>
      <c r="E58" s="9" t="inlineStr">
        <is>
          <t>0</t>
        </is>
      </c>
      <c r="F58" s="9" t="inlineStr">
        <is>
          <t>-2</t>
        </is>
      </c>
      <c r="G58" s="9" t="n">
        <v>390</v>
      </c>
      <c r="H58" s="9" t="n"/>
      <c r="I58" s="9" t="inlineStr">
        <is>
          <t>/white-rock-plumbing/</t>
        </is>
      </c>
      <c r="J58" s="12" t="inlineStr">
        <is>
          <t>Keep</t>
        </is>
      </c>
      <c r="K58" s="11" t="inlineStr"/>
    </row>
    <row r="59">
      <c r="A59" s="9" t="inlineStr">
        <is>
          <t>White Rock</t>
        </is>
      </c>
      <c r="B59" s="9" t="inlineStr">
        <is>
          <t>gas line installation white rock</t>
        </is>
      </c>
      <c r="C59" s="9" t="n">
        <v>11</v>
      </c>
      <c r="D59" s="9" t="n">
        <v>11</v>
      </c>
      <c r="E59" s="9" t="inlineStr">
        <is>
          <t>0</t>
        </is>
      </c>
      <c r="F59" s="9" t="inlineStr">
        <is>
          <t>-7</t>
        </is>
      </c>
      <c r="G59" s="9" t="n">
        <v>10</v>
      </c>
      <c r="H59" s="9" t="n">
        <v>10</v>
      </c>
      <c r="I59" s="9" t="inlineStr">
        <is>
          <t>/services/gas-fitting/</t>
        </is>
      </c>
      <c r="J59" s="12" t="inlineStr">
        <is>
          <t>Keep</t>
        </is>
      </c>
      <c r="K59" s="11" t="inlineStr"/>
    </row>
    <row r="60">
      <c r="A60" s="9" t="inlineStr">
        <is>
          <t>White Rock</t>
        </is>
      </c>
      <c r="B60" s="9" t="inlineStr">
        <is>
          <t>tankless water heater services white rock</t>
        </is>
      </c>
      <c r="C60" s="9" t="n">
        <v>12</v>
      </c>
      <c r="D60" s="9" t="n">
        <v>10</v>
      </c>
      <c r="E60" s="9" t="inlineStr">
        <is>
          <t>-2</t>
        </is>
      </c>
      <c r="F60" s="9" t="inlineStr">
        <is>
          <t>0</t>
        </is>
      </c>
      <c r="G60" s="9" t="n">
        <v>10</v>
      </c>
      <c r="H60" s="9" t="n">
        <v>10</v>
      </c>
      <c r="I60" s="9" t="inlineStr">
        <is>
          <t>/white-rock-plumbing/</t>
        </is>
      </c>
      <c r="J60" s="12" t="inlineStr">
        <is>
          <t>Keep</t>
        </is>
      </c>
      <c r="K60" s="11" t="inlineStr"/>
    </row>
    <row r="61">
      <c r="A61" s="9" t="inlineStr">
        <is>
          <t>White Rock</t>
        </is>
      </c>
      <c r="B61" s="9" t="inlineStr">
        <is>
          <t>boiler installation white rock</t>
        </is>
      </c>
      <c r="C61" s="9" t="n">
        <v>15</v>
      </c>
      <c r="D61" s="9" t="n">
        <v>14</v>
      </c>
      <c r="E61" s="9" t="inlineStr">
        <is>
          <t>-1</t>
        </is>
      </c>
      <c r="F61" s="9" t="inlineStr">
        <is>
          <t>-8</t>
        </is>
      </c>
      <c r="G61" s="9" t="n">
        <v>10</v>
      </c>
      <c r="H61" s="9" t="n">
        <v>10</v>
      </c>
      <c r="I61" s="9" t="inlineStr">
        <is>
          <t>/white-rock-plumbing/</t>
        </is>
      </c>
      <c r="J61" s="12" t="inlineStr">
        <is>
          <t>Keep</t>
        </is>
      </c>
      <c r="K61" s="11" t="inlineStr"/>
    </row>
    <row r="62">
      <c r="A62" s="9" t="inlineStr">
        <is>
          <t>White Rock</t>
        </is>
      </c>
      <c r="B62" s="9" t="inlineStr">
        <is>
          <t>furnace installation white rock</t>
        </is>
      </c>
      <c r="C62" s="9" t="n">
        <v>16</v>
      </c>
      <c r="D62" s="9" t="n">
        <v>36</v>
      </c>
      <c r="E62" s="9" t="inlineStr">
        <is>
          <t>+20</t>
        </is>
      </c>
      <c r="F62" s="9" t="inlineStr">
        <is>
          <t>+22</t>
        </is>
      </c>
      <c r="G62" s="9" t="n">
        <v>10</v>
      </c>
      <c r="H62" s="9" t="n">
        <v>10</v>
      </c>
      <c r="I62" s="9" t="inlineStr">
        <is>
          <t>/services/heating-cooling/furnace-installation/</t>
        </is>
      </c>
      <c r="J62" s="12" t="inlineStr">
        <is>
          <t>Keep</t>
        </is>
      </c>
      <c r="K62" s="11" t="inlineStr"/>
    </row>
    <row r="63">
      <c r="A63" s="9" t="inlineStr">
        <is>
          <t>White Rock</t>
        </is>
      </c>
      <c r="B63" s="9" t="inlineStr">
        <is>
          <t>hot water tank repair white rock</t>
        </is>
      </c>
      <c r="C63" s="9" t="n">
        <v>20</v>
      </c>
      <c r="D63" s="9" t="n">
        <v>24</v>
      </c>
      <c r="E63" s="9" t="inlineStr">
        <is>
          <t>+4</t>
        </is>
      </c>
      <c r="F63" s="9" t="inlineStr">
        <is>
          <t>-10</t>
        </is>
      </c>
      <c r="G63" s="9" t="n">
        <v>10</v>
      </c>
      <c r="H63" s="9" t="n">
        <v>10</v>
      </c>
      <c r="I63" s="9" t="inlineStr">
        <is>
          <t>/white-rock-plumbing/</t>
        </is>
      </c>
      <c r="J63" s="12" t="inlineStr">
        <is>
          <t>Keep</t>
        </is>
      </c>
      <c r="K63" s="11" t="inlineStr"/>
    </row>
    <row r="64">
      <c r="A64" s="9" t="inlineStr">
        <is>
          <t>White Rock</t>
        </is>
      </c>
      <c r="B64" s="9" t="inlineStr">
        <is>
          <t>heating installation white rock</t>
        </is>
      </c>
      <c r="C64" s="9" t="n">
        <v>24</v>
      </c>
      <c r="D64" s="9" t="n">
        <v>28</v>
      </c>
      <c r="E64" s="9" t="inlineStr">
        <is>
          <t>+4</t>
        </is>
      </c>
      <c r="F64" s="9" t="inlineStr">
        <is>
          <t>-6</t>
        </is>
      </c>
      <c r="G64" s="9" t="n">
        <v>10</v>
      </c>
      <c r="H64" s="9" t="n">
        <v>10</v>
      </c>
      <c r="I64" s="9" t="inlineStr">
        <is>
          <t>/white-rock-plumbing/</t>
        </is>
      </c>
      <c r="J64" s="12" t="inlineStr">
        <is>
          <t>Keep</t>
        </is>
      </c>
      <c r="K64" s="11" t="inlineStr"/>
    </row>
    <row r="65">
      <c r="A65" s="9" t="inlineStr">
        <is>
          <t>White Rock</t>
        </is>
      </c>
      <c r="B65" s="9" t="inlineStr">
        <is>
          <t>heating service white rock</t>
        </is>
      </c>
      <c r="C65" s="9" t="n">
        <v>25</v>
      </c>
      <c r="D65" s="9" t="n">
        <v>14</v>
      </c>
      <c r="E65" s="9" t="inlineStr">
        <is>
          <t>-11</t>
        </is>
      </c>
      <c r="F65" s="9" t="inlineStr">
        <is>
          <t>-18</t>
        </is>
      </c>
      <c r="G65" s="9" t="n">
        <v>10</v>
      </c>
      <c r="H65" s="9" t="n">
        <v>10</v>
      </c>
      <c r="I65" s="9" t="inlineStr">
        <is>
          <t>/white-rock-plumbing/</t>
        </is>
      </c>
      <c r="J65" s="12" t="inlineStr">
        <is>
          <t>Keep</t>
        </is>
      </c>
      <c r="K65" s="11" t="inlineStr"/>
    </row>
    <row r="66">
      <c r="A66" s="9" t="inlineStr">
        <is>
          <t>White Rock</t>
        </is>
      </c>
      <c r="B66" s="9" t="inlineStr">
        <is>
          <t>plumbers in white rock bc</t>
        </is>
      </c>
      <c r="C66" s="9" t="n">
        <v>25</v>
      </c>
      <c r="D66" s="9" t="n">
        <v>7</v>
      </c>
      <c r="E66" s="9" t="inlineStr">
        <is>
          <t>-18</t>
        </is>
      </c>
      <c r="F66" s="9" t="inlineStr">
        <is>
          <t>-18</t>
        </is>
      </c>
      <c r="G66" s="9" t="n">
        <v>20</v>
      </c>
      <c r="H66" s="9" t="n"/>
      <c r="I66" s="9" t="inlineStr">
        <is>
          <t>/white-rock-plumbing/</t>
        </is>
      </c>
      <c r="J66" s="12" t="inlineStr">
        <is>
          <t>Keep</t>
        </is>
      </c>
      <c r="K66" s="11" t="inlineStr"/>
    </row>
    <row r="67">
      <c r="A67" s="9" t="inlineStr">
        <is>
          <t>White Rock</t>
        </is>
      </c>
      <c r="B67" s="9" t="inlineStr">
        <is>
          <t>hot water tank services white rock</t>
        </is>
      </c>
      <c r="C67" s="9" t="n">
        <v>29</v>
      </c>
      <c r="D67" s="9" t="n">
        <v>3</v>
      </c>
      <c r="E67" s="9" t="inlineStr">
        <is>
          <t>-26</t>
        </is>
      </c>
      <c r="F67" s="9" t="inlineStr">
        <is>
          <t>-26</t>
        </is>
      </c>
      <c r="G67" s="9" t="n">
        <v>10</v>
      </c>
      <c r="H67" s="9" t="n">
        <v>10</v>
      </c>
      <c r="I67" s="9" t="inlineStr">
        <is>
          <t>/white-rock-plumbing/</t>
        </is>
      </c>
      <c r="J67" s="12" t="inlineStr">
        <is>
          <t>Keep</t>
        </is>
      </c>
      <c r="K67" s="11" t="inlineStr"/>
    </row>
    <row r="68">
      <c r="A68" s="9" t="inlineStr">
        <is>
          <t>White Rock</t>
        </is>
      </c>
      <c r="B68" s="9" t="inlineStr">
        <is>
          <t>furnace repair white rock</t>
        </is>
      </c>
      <c r="C68" s="9" t="n">
        <v>32</v>
      </c>
      <c r="D68" s="9" t="n">
        <v>19</v>
      </c>
      <c r="E68" s="9" t="inlineStr">
        <is>
          <t>-13</t>
        </is>
      </c>
      <c r="F68" s="9" t="inlineStr">
        <is>
          <t>-15</t>
        </is>
      </c>
      <c r="G68" s="9" t="n">
        <v>90</v>
      </c>
      <c r="H68" s="9" t="n">
        <v>10</v>
      </c>
      <c r="I68" s="9" t="inlineStr">
        <is>
          <t>/white-rock-plumbing/</t>
        </is>
      </c>
      <c r="J68" s="12" t="inlineStr">
        <is>
          <t>Keep</t>
        </is>
      </c>
      <c r="K68" s="11" t="inlineStr"/>
    </row>
    <row r="69">
      <c r="A69" s="9" t="inlineStr">
        <is>
          <t>White Rock</t>
        </is>
      </c>
      <c r="B69" s="9" t="inlineStr">
        <is>
          <t>air conditioner white rock</t>
        </is>
      </c>
      <c r="C69" s="9" t="n">
        <v>37</v>
      </c>
      <c r="D69" s="9" t="n">
        <v>19</v>
      </c>
      <c r="E69" s="9" t="inlineStr">
        <is>
          <t>-18</t>
        </is>
      </c>
      <c r="F69" s="9" t="inlineStr">
        <is>
          <t>-33</t>
        </is>
      </c>
      <c r="G69" s="9" t="n">
        <v>10</v>
      </c>
      <c r="H69" s="9" t="n">
        <v>10</v>
      </c>
      <c r="I69" s="9" t="inlineStr">
        <is>
          <t>/services/heating-cooling/air-conditioning/</t>
        </is>
      </c>
      <c r="J69" s="12" t="inlineStr">
        <is>
          <t>Keep</t>
        </is>
      </c>
      <c r="K69" s="11" t="inlineStr"/>
    </row>
    <row r="70">
      <c r="A70" s="9" t="inlineStr">
        <is>
          <t>White Rock</t>
        </is>
      </c>
      <c r="B70" s="9" t="inlineStr">
        <is>
          <t>furnace service white rock</t>
        </is>
      </c>
      <c r="C70" s="9" t="n">
        <v>37</v>
      </c>
      <c r="D70" s="9" t="n">
        <v>16</v>
      </c>
      <c r="E70" s="9" t="inlineStr">
        <is>
          <t>-21</t>
        </is>
      </c>
      <c r="F70" s="9" t="inlineStr">
        <is>
          <t>-34</t>
        </is>
      </c>
      <c r="G70" s="9" t="n">
        <v>10</v>
      </c>
      <c r="H70" s="9" t="n">
        <v>10</v>
      </c>
      <c r="I70" s="9" t="inlineStr">
        <is>
          <t>/white-rock-plumbing/</t>
        </is>
      </c>
      <c r="J70" s="12" t="inlineStr">
        <is>
          <t>Keep</t>
        </is>
      </c>
      <c r="K70" s="11" t="inlineStr"/>
    </row>
    <row r="71">
      <c r="A71" s="9" t="inlineStr">
        <is>
          <t>Langley</t>
        </is>
      </c>
      <c r="B71" s="9" t="inlineStr">
        <is>
          <t>radiant heating langley</t>
        </is>
      </c>
      <c r="C71" s="9" t="n">
        <v>1</v>
      </c>
      <c r="D71" s="9" t="n">
        <v>2</v>
      </c>
      <c r="E71" s="9" t="inlineStr">
        <is>
          <t>+1</t>
        </is>
      </c>
      <c r="F71" s="9" t="inlineStr">
        <is>
          <t>0</t>
        </is>
      </c>
      <c r="G71" s="9" t="n">
        <v>10</v>
      </c>
      <c r="H71" s="9" t="n">
        <v>10</v>
      </c>
      <c r="I71" s="9" t="inlineStr">
        <is>
          <t>/services/plumbing/radiant-in-floor-heating/</t>
        </is>
      </c>
      <c r="J71" s="12" t="inlineStr">
        <is>
          <t>Keep</t>
        </is>
      </c>
      <c r="K71" s="11" t="inlineStr"/>
    </row>
    <row r="72">
      <c r="A72" s="9" t="inlineStr">
        <is>
          <t>Langley</t>
        </is>
      </c>
      <c r="B72" s="9" t="inlineStr">
        <is>
          <t>in floor heating langley</t>
        </is>
      </c>
      <c r="C72" s="9" t="n">
        <v>2</v>
      </c>
      <c r="D72" s="9" t="n">
        <v>2</v>
      </c>
      <c r="E72" s="9" t="inlineStr">
        <is>
          <t>0</t>
        </is>
      </c>
      <c r="F72" s="9" t="inlineStr">
        <is>
          <t>-1</t>
        </is>
      </c>
      <c r="G72" s="9" t="n">
        <v>10</v>
      </c>
      <c r="H72" s="9" t="n">
        <v>10</v>
      </c>
      <c r="I72" s="9" t="inlineStr">
        <is>
          <t>/services/plumbing/radiant-in-floor-heating/</t>
        </is>
      </c>
      <c r="J72" s="12" t="inlineStr">
        <is>
          <t>Keep</t>
        </is>
      </c>
      <c r="K72" s="11" t="inlineStr"/>
    </row>
    <row r="73">
      <c r="A73" s="9" t="inlineStr">
        <is>
          <t>Langley</t>
        </is>
      </c>
      <c r="B73" s="9" t="inlineStr">
        <is>
          <t>hot water tank repair langley</t>
        </is>
      </c>
      <c r="C73" s="9" t="n">
        <v>5</v>
      </c>
      <c r="D73" s="9" t="n">
        <v>12</v>
      </c>
      <c r="E73" s="9" t="inlineStr">
        <is>
          <t>+7</t>
        </is>
      </c>
      <c r="F73" s="9" t="inlineStr">
        <is>
          <t>+6</t>
        </is>
      </c>
      <c r="G73" s="9" t="n">
        <v>20</v>
      </c>
      <c r="H73" s="9" t="n">
        <v>10</v>
      </c>
      <c r="I73" s="9" t="inlineStr">
        <is>
          <t>/services/plumbing/hot-water-tanks/</t>
        </is>
      </c>
      <c r="J73" s="12" t="inlineStr">
        <is>
          <t>Keep</t>
        </is>
      </c>
      <c r="K73" s="11" t="inlineStr"/>
    </row>
    <row r="74">
      <c r="A74" s="9" t="inlineStr">
        <is>
          <t>Langley</t>
        </is>
      </c>
      <c r="B74" s="9" t="inlineStr">
        <is>
          <t>hot water tank replacement langley</t>
        </is>
      </c>
      <c r="C74" s="9" t="n">
        <v>10</v>
      </c>
      <c r="D74" s="9" t="n">
        <v>12</v>
      </c>
      <c r="E74" s="9" t="inlineStr">
        <is>
          <t>+2</t>
        </is>
      </c>
      <c r="F74" s="9" t="inlineStr">
        <is>
          <t>-3</t>
        </is>
      </c>
      <c r="G74" s="9" t="n">
        <v>20</v>
      </c>
      <c r="H74" s="9" t="n">
        <v>40</v>
      </c>
      <c r="I74" s="9" t="inlineStr">
        <is>
          <t>/services/plumbing/hot-water-tanks/</t>
        </is>
      </c>
      <c r="J74" s="12" t="inlineStr">
        <is>
          <t>Keep</t>
        </is>
      </c>
      <c r="K74" s="11" t="inlineStr"/>
    </row>
    <row r="75">
      <c r="A75" s="9" t="inlineStr">
        <is>
          <t>Langley</t>
        </is>
      </c>
      <c r="B75" s="9" t="inlineStr">
        <is>
          <t>gas fitter langley</t>
        </is>
      </c>
      <c r="C75" s="9" t="n">
        <v>12</v>
      </c>
      <c r="D75" s="9" t="n">
        <v>15</v>
      </c>
      <c r="E75" s="9" t="inlineStr">
        <is>
          <t>+3</t>
        </is>
      </c>
      <c r="F75" s="9" t="inlineStr">
        <is>
          <t>+2</t>
        </is>
      </c>
      <c r="G75" s="9" t="n">
        <v>40</v>
      </c>
      <c r="H75" s="9" t="n">
        <v>30</v>
      </c>
      <c r="I75" s="9" t="inlineStr">
        <is>
          <t>/services/gas-fitting/</t>
        </is>
      </c>
      <c r="J75" s="12" t="inlineStr">
        <is>
          <t>Keep</t>
        </is>
      </c>
      <c r="K75" s="11" t="inlineStr"/>
    </row>
    <row r="76">
      <c r="A76" s="9" t="inlineStr">
        <is>
          <t>Langley</t>
        </is>
      </c>
      <c r="B76" s="9" t="inlineStr">
        <is>
          <t>boiler repair langley</t>
        </is>
      </c>
      <c r="C76" s="9" t="n">
        <v>13</v>
      </c>
      <c r="D76" s="9" t="n">
        <v>40</v>
      </c>
      <c r="E76" s="9" t="inlineStr">
        <is>
          <t>+27</t>
        </is>
      </c>
      <c r="F76" s="9" t="inlineStr">
        <is>
          <t>+16</t>
        </is>
      </c>
      <c r="G76" s="9" t="n">
        <v>10</v>
      </c>
      <c r="H76" s="9" t="n">
        <v>20</v>
      </c>
      <c r="I76" s="9" t="inlineStr">
        <is>
          <t>/services/heating-cooling/langley-boiler-repair/</t>
        </is>
      </c>
      <c r="J76" s="12" t="inlineStr">
        <is>
          <t>Keep</t>
        </is>
      </c>
      <c r="K76" s="11" t="inlineStr"/>
    </row>
    <row r="77">
      <c r="A77" s="9" t="inlineStr">
        <is>
          <t>Langley</t>
        </is>
      </c>
      <c r="B77" s="9" t="inlineStr">
        <is>
          <t>hot water tank services langley</t>
        </is>
      </c>
      <c r="C77" s="9" t="n">
        <v>14</v>
      </c>
      <c r="D77" s="9" t="n">
        <v>4</v>
      </c>
      <c r="E77" s="9" t="inlineStr">
        <is>
          <t>-10</t>
        </is>
      </c>
      <c r="F77" s="9" t="inlineStr">
        <is>
          <t>-9</t>
        </is>
      </c>
      <c r="G77" s="9" t="n">
        <v>10</v>
      </c>
      <c r="H77" s="9" t="n">
        <v>10</v>
      </c>
      <c r="I77" s="9" t="inlineStr">
        <is>
          <t>/services/plumbing/hot-water-tanks/</t>
        </is>
      </c>
      <c r="J77" s="12" t="inlineStr">
        <is>
          <t>Keep</t>
        </is>
      </c>
      <c r="K77" s="11" t="inlineStr"/>
    </row>
    <row r="78">
      <c r="A78" s="9" t="inlineStr">
        <is>
          <t>Langley</t>
        </is>
      </c>
      <c r="B78" s="9" t="inlineStr">
        <is>
          <t>hot water tank installation langley</t>
        </is>
      </c>
      <c r="C78" s="9" t="n">
        <v>17</v>
      </c>
      <c r="D78" s="9" t="n">
        <v>16</v>
      </c>
      <c r="E78" s="9" t="inlineStr">
        <is>
          <t>-1</t>
        </is>
      </c>
      <c r="F78" s="9" t="inlineStr">
        <is>
          <t>-4</t>
        </is>
      </c>
      <c r="G78" s="9" t="n">
        <v>10</v>
      </c>
      <c r="H78" s="9" t="n">
        <v>30</v>
      </c>
      <c r="I78" s="9" t="inlineStr">
        <is>
          <t>/services/plumbing/hot-water-tanks/</t>
        </is>
      </c>
      <c r="J78" s="12" t="inlineStr">
        <is>
          <t>Keep</t>
        </is>
      </c>
      <c r="K78" s="11" t="inlineStr"/>
    </row>
    <row r="79">
      <c r="A79" s="9" t="inlineStr">
        <is>
          <t>Langley</t>
        </is>
      </c>
      <c r="B79" s="9" t="inlineStr">
        <is>
          <t>best plumber langley</t>
        </is>
      </c>
      <c r="C79" s="9" t="n">
        <v>21</v>
      </c>
      <c r="D79" s="9" t="n">
        <v>19</v>
      </c>
      <c r="E79" s="9" t="inlineStr">
        <is>
          <t>-2</t>
        </is>
      </c>
      <c r="F79" s="9" t="inlineStr">
        <is>
          <t>-4</t>
        </is>
      </c>
      <c r="G79" s="9" t="n">
        <v>10</v>
      </c>
      <c r="H79" s="9" t="n">
        <v>10</v>
      </c>
      <c r="I79" s="9" t="inlineStr">
        <is>
          <t>/langley-plumbing-and-heating/</t>
        </is>
      </c>
      <c r="J79" s="12" t="inlineStr">
        <is>
          <t>Keep</t>
        </is>
      </c>
      <c r="K79" s="11" t="inlineStr"/>
    </row>
    <row r="80">
      <c r="A80" s="9" t="inlineStr">
        <is>
          <t>Langley</t>
        </is>
      </c>
      <c r="B80" s="9" t="inlineStr">
        <is>
          <t>plumbers langley bc</t>
        </is>
      </c>
      <c r="C80" s="9" t="n">
        <v>32</v>
      </c>
      <c r="D80" s="9" t="n">
        <v>31</v>
      </c>
      <c r="E80" s="9" t="inlineStr">
        <is>
          <t>-1</t>
        </is>
      </c>
      <c r="F80" s="9" t="inlineStr">
        <is>
          <t>0</t>
        </is>
      </c>
      <c r="G80" s="9" t="n">
        <v>70</v>
      </c>
      <c r="H80" s="9" t="n">
        <v>170</v>
      </c>
      <c r="I80" s="9" t="inlineStr">
        <is>
          <t>/langley-plumbing-and-heating/</t>
        </is>
      </c>
      <c r="J80" s="12" t="inlineStr">
        <is>
          <t>Keep</t>
        </is>
      </c>
      <c r="K80" s="11" t="inlineStr"/>
    </row>
    <row r="81">
      <c r="A81" s="9" t="inlineStr">
        <is>
          <t>Langley</t>
        </is>
      </c>
      <c r="B81" s="9" t="inlineStr">
        <is>
          <t>tankless water heater maintenance langley</t>
        </is>
      </c>
      <c r="C81" s="9" t="n">
        <v>34</v>
      </c>
      <c r="D81" s="9" t="n">
        <v>33</v>
      </c>
      <c r="E81" s="9" t="inlineStr">
        <is>
          <t>-1</t>
        </is>
      </c>
      <c r="F81" s="9" t="inlineStr">
        <is>
          <t>-20</t>
        </is>
      </c>
      <c r="G81" s="9" t="n">
        <v>10</v>
      </c>
      <c r="H81" s="9" t="n">
        <v>10</v>
      </c>
      <c r="I81" s="9" t="inlineStr">
        <is>
          <t>/services/plumbing/hot-water-tanks/</t>
        </is>
      </c>
      <c r="J81" s="14" t="inlineStr">
        <is>
          <t>Remove</t>
        </is>
      </c>
      <c r="K81" s="11" t="inlineStr">
        <is>
          <t>Low volume: 3 markets combined = 20/mo (under 30)</t>
        </is>
      </c>
    </row>
    <row r="82">
      <c r="A82" s="9" t="inlineStr">
        <is>
          <t>Langley</t>
        </is>
      </c>
      <c r="B82" s="9" t="inlineStr">
        <is>
          <t>plumber in langley</t>
        </is>
      </c>
      <c r="C82" s="9" t="n">
        <v>44</v>
      </c>
      <c r="D82" s="9" t="n">
        <v>34</v>
      </c>
      <c r="E82" s="9" t="inlineStr">
        <is>
          <t>-10</t>
        </is>
      </c>
      <c r="F82" s="9" t="inlineStr">
        <is>
          <t>-15</t>
        </is>
      </c>
      <c r="G82" s="9" t="n">
        <v>880</v>
      </c>
      <c r="H82" s="9" t="n">
        <v>1000</v>
      </c>
      <c r="I82" s="9" t="inlineStr">
        <is>
          <t>/langley-plumbing-and-heating/</t>
        </is>
      </c>
      <c r="J82" s="12" t="inlineStr">
        <is>
          <t>Keep</t>
        </is>
      </c>
      <c r="K82" s="11" t="inlineStr"/>
    </row>
    <row r="83">
      <c r="A83" s="9" t="inlineStr">
        <is>
          <t>Langley</t>
        </is>
      </c>
      <c r="B83" s="9" t="inlineStr">
        <is>
          <t>plumbers langley</t>
        </is>
      </c>
      <c r="C83" s="9" t="n">
        <v>49</v>
      </c>
      <c r="D83" s="9" t="n">
        <v>45</v>
      </c>
      <c r="E83" s="9" t="inlineStr">
        <is>
          <t>-4</t>
        </is>
      </c>
      <c r="F83" s="9" t="inlineStr">
        <is>
          <t>-13</t>
        </is>
      </c>
      <c r="G83" s="9" t="n">
        <v>880</v>
      </c>
      <c r="H83" s="9" t="n"/>
      <c r="I83" s="9" t="inlineStr">
        <is>
          <t>/langley-plumbing-and-heating/</t>
        </is>
      </c>
      <c r="J83" s="12" t="inlineStr">
        <is>
          <t>Keep</t>
        </is>
      </c>
      <c r="K83" s="11" t="inlineStr"/>
    </row>
    <row r="84">
      <c r="A84" s="9" t="inlineStr">
        <is>
          <t>Langley</t>
        </is>
      </c>
      <c r="B84" s="9" t="inlineStr">
        <is>
          <t>plumber langley</t>
        </is>
      </c>
      <c r="C84" s="9" t="n">
        <v>50</v>
      </c>
      <c r="D84" s="9" t="n">
        <v>44</v>
      </c>
      <c r="E84" s="9" t="inlineStr">
        <is>
          <t>-6</t>
        </is>
      </c>
      <c r="F84" s="9" t="inlineStr">
        <is>
          <t>+50</t>
        </is>
      </c>
      <c r="G84" s="9" t="n">
        <v>880</v>
      </c>
      <c r="H84" s="9" t="n"/>
      <c r="I84" s="9" t="inlineStr">
        <is>
          <t>/langley-plumbing-and-heating/</t>
        </is>
      </c>
      <c r="J84" s="12" t="inlineStr">
        <is>
          <t>Keep</t>
        </is>
      </c>
      <c r="K84" s="11" t="inlineStr"/>
    </row>
    <row r="85">
      <c r="A85" s="9" t="inlineStr">
        <is>
          <t>Langley</t>
        </is>
      </c>
      <c r="B85" s="9" t="inlineStr">
        <is>
          <t>boiler services langley</t>
        </is>
      </c>
      <c r="C85" s="9" t="n">
        <v>59</v>
      </c>
      <c r="D85" s="9" t="n">
        <v>48</v>
      </c>
      <c r="E85" s="9" t="inlineStr">
        <is>
          <t>-11</t>
        </is>
      </c>
      <c r="F85" s="9" t="inlineStr">
        <is>
          <t>-29</t>
        </is>
      </c>
      <c r="G85" s="9" t="n">
        <v>10</v>
      </c>
      <c r="H85" s="9" t="n">
        <v>10</v>
      </c>
      <c r="I85" s="9" t="inlineStr">
        <is>
          <t>/langley-plumbing-and-heating/</t>
        </is>
      </c>
      <c r="J85" s="12" t="inlineStr">
        <is>
          <t>Keep</t>
        </is>
      </c>
      <c r="K85" s="11" t="inlineStr"/>
    </row>
    <row r="86">
      <c r="A86" s="9" t="inlineStr">
        <is>
          <t>Langley</t>
        </is>
      </c>
      <c r="B86" s="9" t="inlineStr">
        <is>
          <t>plumbers in langley bc</t>
        </is>
      </c>
      <c r="C86" s="9" t="n">
        <v>59</v>
      </c>
      <c r="D86" s="9" t="n">
        <v>44</v>
      </c>
      <c r="E86" s="9" t="inlineStr">
        <is>
          <t>-15</t>
        </is>
      </c>
      <c r="F86" s="9" t="inlineStr">
        <is>
          <t>-58</t>
        </is>
      </c>
      <c r="G86" s="9" t="n">
        <v>70</v>
      </c>
      <c r="H86" s="9" t="n"/>
      <c r="I86" s="9" t="inlineStr">
        <is>
          <t>/langley-plumbing-and-heating/</t>
        </is>
      </c>
      <c r="J86" s="12" t="inlineStr">
        <is>
          <t>Keep</t>
        </is>
      </c>
      <c r="K86" s="11" t="inlineStr"/>
    </row>
    <row r="87">
      <c r="A87" s="9" t="inlineStr">
        <is>
          <t>Langley</t>
        </is>
      </c>
      <c r="B87" s="9" t="inlineStr">
        <is>
          <t>boiler installation langley</t>
        </is>
      </c>
      <c r="C87" s="9" t="n">
        <v>62</v>
      </c>
      <c r="D87" s="9" t="n">
        <v>54</v>
      </c>
      <c r="E87" s="9" t="inlineStr">
        <is>
          <t>-8</t>
        </is>
      </c>
      <c r="F87" s="9" t="inlineStr">
        <is>
          <t>-26</t>
        </is>
      </c>
      <c r="G87" s="9" t="n">
        <v>10</v>
      </c>
      <c r="H87" s="9" t="n">
        <v>20</v>
      </c>
      <c r="I87" s="9" t="inlineStr">
        <is>
          <t>/langley-plumbing-and-heating/</t>
        </is>
      </c>
      <c r="J87" s="12" t="inlineStr">
        <is>
          <t>Keep</t>
        </is>
      </c>
      <c r="K87" s="11" t="inlineStr"/>
    </row>
    <row r="88">
      <c r="A88" s="9" t="inlineStr">
        <is>
          <t>Langley</t>
        </is>
      </c>
      <c r="B88" s="9" t="inlineStr">
        <is>
          <t>plumbing company langley</t>
        </is>
      </c>
      <c r="C88" s="9" t="n">
        <v>65</v>
      </c>
      <c r="D88" s="9" t="n">
        <v>61</v>
      </c>
      <c r="E88" s="9" t="inlineStr">
        <is>
          <t>-4</t>
        </is>
      </c>
      <c r="F88" s="9" t="inlineStr">
        <is>
          <t>-21</t>
        </is>
      </c>
      <c r="G88" s="9" t="n">
        <v>10</v>
      </c>
      <c r="H88" s="9" t="n">
        <v>90</v>
      </c>
      <c r="I88" s="9" t="inlineStr">
        <is>
          <t>/langley-plumbing-and-heating/</t>
        </is>
      </c>
      <c r="J88" s="12" t="inlineStr">
        <is>
          <t>Keep</t>
        </is>
      </c>
      <c r="K88" s="11" t="inlineStr"/>
    </row>
    <row r="89">
      <c r="A89" s="9" t="inlineStr">
        <is>
          <t>Langley</t>
        </is>
      </c>
      <c r="B89" s="9" t="inlineStr">
        <is>
          <t>plumbing services langley</t>
        </is>
      </c>
      <c r="C89" s="9" t="n">
        <v>65</v>
      </c>
      <c r="D89" s="9" t="n">
        <v>56</v>
      </c>
      <c r="E89" s="9" t="inlineStr">
        <is>
          <t>-9</t>
        </is>
      </c>
      <c r="F89" s="9" t="inlineStr">
        <is>
          <t>-27</t>
        </is>
      </c>
      <c r="G89" s="9" t="n">
        <v>10</v>
      </c>
      <c r="H89" s="9" t="n">
        <v>30</v>
      </c>
      <c r="I89" s="9" t="inlineStr">
        <is>
          <t>/langley-plumbing-and-heating/</t>
        </is>
      </c>
      <c r="J89" s="12" t="inlineStr">
        <is>
          <t>Keep</t>
        </is>
      </c>
      <c r="K89" s="11" t="inlineStr"/>
    </row>
    <row r="90">
      <c r="A90" s="9" t="inlineStr">
        <is>
          <t>Langley</t>
        </is>
      </c>
      <c r="B90" s="9" t="inlineStr">
        <is>
          <t>heating services langley</t>
        </is>
      </c>
      <c r="C90" s="9" t="n">
        <v>66</v>
      </c>
      <c r="D90" s="9" t="n">
        <v>62</v>
      </c>
      <c r="E90" s="9" t="inlineStr">
        <is>
          <t>-4</t>
        </is>
      </c>
      <c r="F90" s="9" t="inlineStr">
        <is>
          <t>-18</t>
        </is>
      </c>
      <c r="G90" s="9" t="n">
        <v>10</v>
      </c>
      <c r="H90" s="9" t="n">
        <v>10</v>
      </c>
      <c r="I90" s="9" t="inlineStr">
        <is>
          <t>/langley-plumbing-and-heating/</t>
        </is>
      </c>
      <c r="J90" s="14" t="inlineStr">
        <is>
          <t>Remove</t>
        </is>
      </c>
      <c r="K90" s="11" t="inlineStr">
        <is>
          <t>Low volume: 3 markets combined = 20/mo (under 30)</t>
        </is>
      </c>
    </row>
    <row r="91">
      <c r="A91" s="9" t="inlineStr">
        <is>
          <t>Langley</t>
        </is>
      </c>
      <c r="B91" s="9" t="inlineStr">
        <is>
          <t>heating service langley</t>
        </is>
      </c>
      <c r="C91" s="9" t="n">
        <v>85</v>
      </c>
      <c r="D91" s="9" t="n">
        <v>80</v>
      </c>
      <c r="E91" s="9" t="inlineStr">
        <is>
          <t>-5</t>
        </is>
      </c>
      <c r="F91" s="9" t="inlineStr">
        <is>
          <t>-43</t>
        </is>
      </c>
      <c r="G91" s="9" t="n">
        <v>10</v>
      </c>
      <c r="H91" s="9" t="n"/>
      <c r="I91" s="9" t="inlineStr">
        <is>
          <t>/langley-plumbing-and-heating/</t>
        </is>
      </c>
      <c r="J91" s="12" t="inlineStr">
        <is>
          <t>Keep</t>
        </is>
      </c>
      <c r="K91" s="11" t="inlineStr"/>
    </row>
    <row r="92">
      <c r="A92" s="9" t="inlineStr">
        <is>
          <t>Langley</t>
        </is>
      </c>
      <c r="B92" s="9" t="inlineStr">
        <is>
          <t>air conditioner langley</t>
        </is>
      </c>
      <c r="C92" s="9" t="n"/>
      <c r="D92" s="9" t="n"/>
      <c r="E92" s="9" t="n"/>
      <c r="F92" s="9" t="inlineStr">
        <is>
          <t>0</t>
        </is>
      </c>
      <c r="G92" s="9" t="n">
        <v>90</v>
      </c>
      <c r="H92" s="9" t="n">
        <v>30</v>
      </c>
      <c r="I92" s="9" t="n"/>
      <c r="J92" s="12" t="inlineStr">
        <is>
          <t>Keep</t>
        </is>
      </c>
      <c r="K92" s="11" t="inlineStr"/>
    </row>
    <row r="93">
      <c r="A93" s="9" t="inlineStr">
        <is>
          <t>Langley</t>
        </is>
      </c>
      <c r="B93" s="9" t="inlineStr">
        <is>
          <t>air conditioning repair langley</t>
        </is>
      </c>
      <c r="C93" s="9" t="n"/>
      <c r="D93" s="9" t="n"/>
      <c r="E93" s="9" t="n"/>
      <c r="F93" s="9" t="inlineStr">
        <is>
          <t>0</t>
        </is>
      </c>
      <c r="G93" s="9" t="n">
        <v>20</v>
      </c>
      <c r="H93" s="9" t="n">
        <v>40</v>
      </c>
      <c r="I93" s="9" t="n"/>
      <c r="J93" s="12" t="inlineStr">
        <is>
          <t>Keep</t>
        </is>
      </c>
      <c r="K93" s="11" t="inlineStr"/>
    </row>
    <row r="94">
      <c r="A94" s="9" t="inlineStr">
        <is>
          <t>Langley</t>
        </is>
      </c>
      <c r="B94" s="9" t="inlineStr">
        <is>
          <t>air conditioning services langley</t>
        </is>
      </c>
      <c r="C94" s="9" t="n"/>
      <c r="D94" s="9" t="n"/>
      <c r="E94" s="9" t="n"/>
      <c r="F94" s="9" t="inlineStr">
        <is>
          <t>0</t>
        </is>
      </c>
      <c r="G94" s="9" t="n">
        <v>10</v>
      </c>
      <c r="H94" s="9" t="n">
        <v>10</v>
      </c>
      <c r="I94" s="9" t="n"/>
      <c r="J94" s="14" t="inlineStr">
        <is>
          <t>Remove</t>
        </is>
      </c>
      <c r="K94" s="11" t="inlineStr">
        <is>
          <t>Low volume: 3 markets combined = 20/mo (under 30)</t>
        </is>
      </c>
    </row>
    <row r="95">
      <c r="A95" s="9" t="inlineStr">
        <is>
          <t>Langley</t>
        </is>
      </c>
      <c r="B95" s="9" t="inlineStr">
        <is>
          <t>furnace installation langley</t>
        </is>
      </c>
      <c r="C95" s="9" t="n"/>
      <c r="D95" s="9" t="n"/>
      <c r="E95" s="9" t="n"/>
      <c r="F95" s="9" t="inlineStr">
        <is>
          <t>0</t>
        </is>
      </c>
      <c r="G95" s="9" t="n">
        <v>20</v>
      </c>
      <c r="H95" s="9" t="n">
        <v>50</v>
      </c>
      <c r="I95" s="9" t="n"/>
      <c r="J95" s="12" t="inlineStr">
        <is>
          <t>Keep</t>
        </is>
      </c>
      <c r="K95" s="11" t="inlineStr"/>
    </row>
    <row r="96">
      <c r="A96" s="9" t="inlineStr">
        <is>
          <t>Langley</t>
        </is>
      </c>
      <c r="B96" s="9" t="inlineStr">
        <is>
          <t>furnace repair langley</t>
        </is>
      </c>
      <c r="C96" s="9" t="n"/>
      <c r="D96" s="9" t="n"/>
      <c r="E96" s="9" t="n"/>
      <c r="F96" s="9" t="inlineStr">
        <is>
          <t>-41</t>
        </is>
      </c>
      <c r="G96" s="9" t="n">
        <v>260</v>
      </c>
      <c r="H96" s="9" t="n">
        <v>170</v>
      </c>
      <c r="I96" s="9" t="n"/>
      <c r="J96" s="12" t="inlineStr">
        <is>
          <t>Keep</t>
        </is>
      </c>
      <c r="K96" s="11" t="inlineStr"/>
    </row>
    <row r="97">
      <c r="A97" s="9" t="inlineStr">
        <is>
          <t>Langley</t>
        </is>
      </c>
      <c r="B97" s="9" t="inlineStr">
        <is>
          <t>furnace service langley</t>
        </is>
      </c>
      <c r="C97" s="9" t="n"/>
      <c r="D97" s="9" t="n"/>
      <c r="E97" s="9" t="n"/>
      <c r="F97" s="9" t="inlineStr">
        <is>
          <t>0</t>
        </is>
      </c>
      <c r="G97" s="9" t="n">
        <v>40</v>
      </c>
      <c r="H97" s="9" t="n">
        <v>40</v>
      </c>
      <c r="I97" s="9" t="n"/>
      <c r="J97" s="12" t="inlineStr">
        <is>
          <t>Keep</t>
        </is>
      </c>
      <c r="K97" s="11" t="inlineStr"/>
    </row>
    <row r="98">
      <c r="A98" s="9" t="inlineStr">
        <is>
          <t>Langley</t>
        </is>
      </c>
      <c r="B98" s="9" t="inlineStr">
        <is>
          <t>furnace services langley</t>
        </is>
      </c>
      <c r="C98" s="9" t="n"/>
      <c r="D98" s="9" t="n"/>
      <c r="E98" s="9" t="n"/>
      <c r="F98" s="9" t="inlineStr">
        <is>
          <t>0</t>
        </is>
      </c>
      <c r="G98" s="9" t="n">
        <v>40</v>
      </c>
      <c r="H98" s="9" t="n"/>
      <c r="I98" s="9" t="n"/>
      <c r="J98" s="12" t="inlineStr">
        <is>
          <t>Keep</t>
        </is>
      </c>
      <c r="K98" s="11" t="inlineStr"/>
    </row>
    <row r="99">
      <c r="A99" s="9" t="inlineStr">
        <is>
          <t>Langley</t>
        </is>
      </c>
      <c r="B99" s="9" t="inlineStr">
        <is>
          <t>gas line installation langley</t>
        </is>
      </c>
      <c r="C99" s="9" t="n"/>
      <c r="D99" s="9" t="n"/>
      <c r="E99" s="9" t="n"/>
      <c r="F99" s="9" t="inlineStr">
        <is>
          <t>-67</t>
        </is>
      </c>
      <c r="G99" s="9" t="n">
        <v>10</v>
      </c>
      <c r="H99" s="9" t="n">
        <v>10</v>
      </c>
      <c r="I99" s="9" t="n"/>
      <c r="J99" s="12" t="inlineStr">
        <is>
          <t>Keep</t>
        </is>
      </c>
      <c r="K99" s="11" t="inlineStr"/>
    </row>
    <row r="100">
      <c r="A100" s="9" t="inlineStr">
        <is>
          <t>Langley</t>
        </is>
      </c>
      <c r="B100" s="9" t="inlineStr">
        <is>
          <t>heat pump installation langley</t>
        </is>
      </c>
      <c r="C100" s="9" t="n"/>
      <c r="D100" s="9" t="n"/>
      <c r="E100" s="9" t="n"/>
      <c r="F100" s="9" t="inlineStr">
        <is>
          <t>0</t>
        </is>
      </c>
      <c r="G100" s="9" t="n">
        <v>10</v>
      </c>
      <c r="H100" s="9" t="n">
        <v>30</v>
      </c>
      <c r="I100" s="9" t="n"/>
      <c r="J100" s="12" t="inlineStr">
        <is>
          <t>Keep</t>
        </is>
      </c>
      <c r="K100" s="11" t="inlineStr"/>
    </row>
    <row r="101">
      <c r="A101" s="9" t="inlineStr">
        <is>
          <t>Langley</t>
        </is>
      </c>
      <c r="B101" s="9" t="inlineStr">
        <is>
          <t>heating installation langley</t>
        </is>
      </c>
      <c r="C101" s="9" t="n"/>
      <c r="D101" s="9" t="n"/>
      <c r="E101" s="9" t="n"/>
      <c r="F101" s="9" t="inlineStr">
        <is>
          <t>-64</t>
        </is>
      </c>
      <c r="G101" s="9" t="n">
        <v>10</v>
      </c>
      <c r="H101" s="9" t="n">
        <v>10</v>
      </c>
      <c r="I101" s="9" t="n"/>
      <c r="J101" s="12" t="inlineStr">
        <is>
          <t>Keep</t>
        </is>
      </c>
      <c r="K101" s="11" t="inlineStr"/>
    </row>
    <row r="102">
      <c r="A102" s="9" t="inlineStr">
        <is>
          <t>Langley</t>
        </is>
      </c>
      <c r="B102" s="9" t="inlineStr">
        <is>
          <t>langley plumbing</t>
        </is>
      </c>
      <c r="C102" s="9" t="n"/>
      <c r="D102" s="9" t="n"/>
      <c r="E102" s="9" t="n"/>
      <c r="F102" s="9" t="inlineStr">
        <is>
          <t>-55</t>
        </is>
      </c>
      <c r="G102" s="9" t="n">
        <v>880</v>
      </c>
      <c r="H102" s="9" t="n"/>
      <c r="I102" s="9" t="n"/>
      <c r="J102" s="12" t="inlineStr">
        <is>
          <t>Keep</t>
        </is>
      </c>
      <c r="K102" s="11" t="inlineStr"/>
    </row>
    <row r="103">
      <c r="A103" s="9" t="inlineStr">
        <is>
          <t>Langley</t>
        </is>
      </c>
      <c r="B103" s="9" t="inlineStr">
        <is>
          <t>plumbing and heating company langley</t>
        </is>
      </c>
      <c r="C103" s="9" t="n"/>
      <c r="D103" s="9" t="n"/>
      <c r="E103" s="9" t="n"/>
      <c r="F103" s="9" t="inlineStr">
        <is>
          <t>-67</t>
        </is>
      </c>
      <c r="G103" s="9" t="n">
        <v>10</v>
      </c>
      <c r="H103" s="9" t="n">
        <v>10</v>
      </c>
      <c r="I103" s="9" t="n"/>
      <c r="J103" s="14" t="inlineStr">
        <is>
          <t>Remove</t>
        </is>
      </c>
      <c r="K103" s="11" t="inlineStr">
        <is>
          <t>Low volume: 3 markets combined = 20/mo (under 30)</t>
        </is>
      </c>
    </row>
    <row r="104">
      <c r="A104" s="9" t="inlineStr">
        <is>
          <t>Langley</t>
        </is>
      </c>
      <c r="B104" s="9" t="inlineStr">
        <is>
          <t>plumbing and heating langley</t>
        </is>
      </c>
      <c r="C104" s="9" t="n"/>
      <c r="D104" s="9" t="n"/>
      <c r="E104" s="9" t="n"/>
      <c r="F104" s="9" t="inlineStr">
        <is>
          <t>-69</t>
        </is>
      </c>
      <c r="G104" s="9" t="n">
        <v>50</v>
      </c>
      <c r="H104" s="9" t="n">
        <v>70</v>
      </c>
      <c r="I104" s="9" t="n"/>
      <c r="J104" s="12" t="inlineStr">
        <is>
          <t>Keep</t>
        </is>
      </c>
      <c r="K104" s="11" t="inlineStr"/>
    </row>
    <row r="105">
      <c r="A105" s="9" t="inlineStr">
        <is>
          <t>Langley</t>
        </is>
      </c>
      <c r="B105" s="9" t="inlineStr">
        <is>
          <t>tankless water heater installation langley</t>
        </is>
      </c>
      <c r="C105" s="9" t="n"/>
      <c r="D105" s="9" t="n"/>
      <c r="E105" s="9" t="n"/>
      <c r="F105" s="9" t="inlineStr">
        <is>
          <t>0</t>
        </is>
      </c>
      <c r="G105" s="9" t="n">
        <v>10</v>
      </c>
      <c r="H105" s="9" t="n">
        <v>10</v>
      </c>
      <c r="I105" s="9" t="n"/>
      <c r="J105" s="12" t="inlineStr">
        <is>
          <t>Keep</t>
        </is>
      </c>
      <c r="K105" s="11" t="inlineStr"/>
    </row>
    <row r="106">
      <c r="A106" s="9" t="inlineStr">
        <is>
          <t>Langley</t>
        </is>
      </c>
      <c r="B106" s="9" t="inlineStr">
        <is>
          <t>tankless water heater repair langley</t>
        </is>
      </c>
      <c r="C106" s="9" t="n"/>
      <c r="D106" s="9" t="n"/>
      <c r="E106" s="9" t="n"/>
      <c r="F106" s="9" t="inlineStr">
        <is>
          <t>-60</t>
        </is>
      </c>
      <c r="G106" s="9" t="n">
        <v>10</v>
      </c>
      <c r="H106" s="9" t="n">
        <v>10</v>
      </c>
      <c r="I106" s="9" t="n"/>
      <c r="J106" s="12" t="inlineStr">
        <is>
          <t>Keep</t>
        </is>
      </c>
      <c r="K106" s="11" t="inlineStr"/>
    </row>
    <row r="107">
      <c r="A107" s="9" t="inlineStr">
        <is>
          <t>Langley</t>
        </is>
      </c>
      <c r="B107" s="9" t="inlineStr">
        <is>
          <t>tankless water heater services langley</t>
        </is>
      </c>
      <c r="C107" s="9" t="n"/>
      <c r="D107" s="9" t="n"/>
      <c r="E107" s="9" t="n"/>
      <c r="F107" s="9" t="inlineStr">
        <is>
          <t>-65</t>
        </is>
      </c>
      <c r="G107" s="9" t="n">
        <v>10</v>
      </c>
      <c r="H107" s="9" t="n">
        <v>10</v>
      </c>
      <c r="I107" s="9" t="n"/>
      <c r="J107" s="12" t="inlineStr">
        <is>
          <t>Keep</t>
        </is>
      </c>
      <c r="K107" s="11" t="inlineStr"/>
    </row>
    <row r="108">
      <c r="A108" s="9" t="inlineStr">
        <is>
          <t>Abbotsford</t>
        </is>
      </c>
      <c r="B108" s="9" t="inlineStr">
        <is>
          <t>boiler repair abbotsford</t>
        </is>
      </c>
      <c r="C108" s="9" t="n">
        <v>46</v>
      </c>
      <c r="D108" s="9" t="n">
        <v>35</v>
      </c>
      <c r="E108" s="9" t="inlineStr">
        <is>
          <t>-11</t>
        </is>
      </c>
      <c r="F108" s="9" t="inlineStr">
        <is>
          <t>+54</t>
        </is>
      </c>
      <c r="G108" s="9" t="n">
        <v>10</v>
      </c>
      <c r="H108" s="9" t="n">
        <v>10</v>
      </c>
      <c r="I108" s="9" t="inlineStr">
        <is>
          <t>/services/heating-cooling/boiler-repair/</t>
        </is>
      </c>
      <c r="J108" s="14" t="inlineStr">
        <is>
          <t>Remove</t>
        </is>
      </c>
      <c r="K108" s="11" t="inlineStr">
        <is>
          <t>Abbotsford is no longer served (Client Overview, Sept 2026)</t>
        </is>
      </c>
    </row>
    <row r="109">
      <c r="A109" s="9" t="inlineStr">
        <is>
          <t>Abbotsford</t>
        </is>
      </c>
      <c r="B109" s="9" t="inlineStr">
        <is>
          <t>furnace abbotsford</t>
        </is>
      </c>
      <c r="C109" s="9" t="n"/>
      <c r="D109" s="9" t="n"/>
      <c r="E109" s="9" t="n"/>
      <c r="F109" s="9" t="inlineStr">
        <is>
          <t>0</t>
        </is>
      </c>
      <c r="G109" s="9" t="n">
        <v>20</v>
      </c>
      <c r="H109" s="9" t="n">
        <v>10</v>
      </c>
      <c r="I109" s="9" t="n"/>
      <c r="J109" s="14" t="inlineStr">
        <is>
          <t>Remove</t>
        </is>
      </c>
      <c r="K109" s="11" t="inlineStr">
        <is>
          <t>Abbotsford is no longer served (Client Overview, Sept 2026)</t>
        </is>
      </c>
    </row>
    <row r="110">
      <c r="A110" s="9" t="inlineStr">
        <is>
          <t>Abbotsford</t>
        </is>
      </c>
      <c r="B110" s="9" t="inlineStr">
        <is>
          <t>furnace maintenance abbotsford</t>
        </is>
      </c>
      <c r="C110" s="9" t="n"/>
      <c r="D110" s="9" t="n"/>
      <c r="E110" s="9" t="n"/>
      <c r="F110" s="9" t="inlineStr">
        <is>
          <t>0</t>
        </is>
      </c>
      <c r="G110" s="9" t="n">
        <v>10</v>
      </c>
      <c r="H110" s="9" t="n">
        <v>10</v>
      </c>
      <c r="I110" s="9" t="n"/>
      <c r="J110" s="14" t="inlineStr">
        <is>
          <t>Remove</t>
        </is>
      </c>
      <c r="K110" s="11" t="inlineStr">
        <is>
          <t>Abbotsford is no longer served (Client Overview, Sept 2026)</t>
        </is>
      </c>
    </row>
    <row r="111">
      <c r="A111" s="9" t="inlineStr">
        <is>
          <t>Abbotsford</t>
        </is>
      </c>
      <c r="B111" s="9" t="inlineStr">
        <is>
          <t>furnace repair abbotsford</t>
        </is>
      </c>
      <c r="C111" s="9" t="n"/>
      <c r="D111" s="9" t="n"/>
      <c r="E111" s="9" t="n"/>
      <c r="F111" s="9" t="inlineStr">
        <is>
          <t>0</t>
        </is>
      </c>
      <c r="G111" s="9" t="n">
        <v>170</v>
      </c>
      <c r="H111" s="9" t="n">
        <v>90</v>
      </c>
      <c r="I111" s="9" t="n"/>
      <c r="J111" s="14" t="inlineStr">
        <is>
          <t>Remove</t>
        </is>
      </c>
      <c r="K111" s="11" t="inlineStr">
        <is>
          <t>Abbotsford is no longer served (Client Overview, Sept 2026)</t>
        </is>
      </c>
    </row>
    <row r="112">
      <c r="A112" s="9" t="inlineStr">
        <is>
          <t>Abbotsford</t>
        </is>
      </c>
      <c r="B112" s="9" t="inlineStr">
        <is>
          <t>hot water tank abbotsford</t>
        </is>
      </c>
      <c r="C112" s="9" t="n"/>
      <c r="D112" s="9" t="n"/>
      <c r="E112" s="9" t="n"/>
      <c r="F112" s="9" t="inlineStr">
        <is>
          <t>0</t>
        </is>
      </c>
      <c r="G112" s="9" t="n">
        <v>20</v>
      </c>
      <c r="H112" s="9" t="n">
        <v>20</v>
      </c>
      <c r="I112" s="9" t="n"/>
      <c r="J112" s="14" t="inlineStr">
        <is>
          <t>Remove</t>
        </is>
      </c>
      <c r="K112" s="11" t="inlineStr">
        <is>
          <t>Abbotsford is no longer served (Client Overview, Sept 2026)</t>
        </is>
      </c>
    </row>
    <row r="113">
      <c r="A113" s="9" t="inlineStr">
        <is>
          <t>Abbotsford</t>
        </is>
      </c>
      <c r="B113" s="9" t="inlineStr">
        <is>
          <t>plumber abbotsford</t>
        </is>
      </c>
      <c r="C113" s="9" t="n"/>
      <c r="D113" s="9" t="n"/>
      <c r="E113" s="9" t="n"/>
      <c r="F113" s="9" t="inlineStr">
        <is>
          <t>0</t>
        </is>
      </c>
      <c r="G113" s="9" t="n">
        <v>720</v>
      </c>
      <c r="H113" s="9" t="n">
        <v>880</v>
      </c>
      <c r="I113" s="9" t="n"/>
      <c r="J113" s="14" t="inlineStr">
        <is>
          <t>Remove</t>
        </is>
      </c>
      <c r="K113" s="11" t="inlineStr">
        <is>
          <t>Abbotsford is no longer served (Client Overview, Sept 2026)</t>
        </is>
      </c>
    </row>
    <row r="114">
      <c r="A114" s="9" t="inlineStr">
        <is>
          <t>No location modifier</t>
        </is>
      </c>
      <c r="B114" s="9" t="inlineStr">
        <is>
          <t>fortis rebates</t>
        </is>
      </c>
      <c r="C114" s="9" t="n">
        <v>59</v>
      </c>
      <c r="D114" s="9" t="n">
        <v>47</v>
      </c>
      <c r="E114" s="9" t="inlineStr">
        <is>
          <t>-12</t>
        </is>
      </c>
      <c r="F114" s="9" t="inlineStr">
        <is>
          <t>-11</t>
        </is>
      </c>
      <c r="G114" s="9" t="n">
        <v>2400</v>
      </c>
      <c r="H114" s="9" t="n">
        <v>1000</v>
      </c>
      <c r="I114" s="9" t="inlineStr">
        <is>
          <t>/fortisbc-rebates/</t>
        </is>
      </c>
      <c r="J114" s="14" t="inlineStr">
        <is>
          <t>Remove</t>
        </is>
      </c>
      <c r="K114" s="11" t="inlineStr">
        <is>
          <t>Informational, not a service; FortisBC co-op dropped 2025-09-02. Keep only if the rebate page is a deliberate lead magnet (confirm with Andrew).</t>
        </is>
      </c>
    </row>
  </sheetData>
  <autoFilter ref="A1:K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8" t="inlineStr">
        <is>
          <t>Keyword</t>
        </is>
      </c>
      <c r="B1" s="8" t="inlineStr">
        <is>
          <t>Hilltop pos.</t>
        </is>
      </c>
      <c r="C1" s="8" t="inlineStr">
        <is>
          <t>Sadler pos.</t>
        </is>
      </c>
      <c r="D1" s="8" t="inlineStr">
        <is>
          <t>Volume</t>
        </is>
      </c>
      <c r="E1" s="8" t="inlineStr">
        <is>
          <t>Notes</t>
        </is>
      </c>
    </row>
    <row r="2">
      <c r="A2" s="9" t="inlineStr">
        <is>
          <t>plumber white rock</t>
        </is>
      </c>
      <c r="B2" s="9" t="n">
        <v>1</v>
      </c>
      <c r="C2" s="9" t="n">
        <v>6</v>
      </c>
      <c r="D2" s="9" t="n">
        <v>390</v>
      </c>
      <c r="E2" s="11" t="inlineStr"/>
    </row>
    <row r="3">
      <c r="A3" s="9" t="inlineStr">
        <is>
          <t>plumbers white rock</t>
        </is>
      </c>
      <c r="B3" s="9" t="n">
        <v>2</v>
      </c>
      <c r="C3" s="9" t="n">
        <v>9</v>
      </c>
      <c r="D3" s="9" t="n">
        <v>390</v>
      </c>
      <c r="E3" s="11" t="inlineStr"/>
    </row>
    <row r="4">
      <c r="A4" s="9" t="inlineStr">
        <is>
          <t>plumber in white rock</t>
        </is>
      </c>
      <c r="B4" s="9" t="n">
        <v>2</v>
      </c>
      <c r="C4" s="9" t="n">
        <v>9</v>
      </c>
      <c r="D4" s="9" t="n">
        <v>390</v>
      </c>
      <c r="E4" s="11" t="inlineStr"/>
    </row>
    <row r="5">
      <c r="A5" s="9" t="inlineStr">
        <is>
          <t>white rock plumbing</t>
        </is>
      </c>
      <c r="B5" s="9" t="n">
        <v>2</v>
      </c>
      <c r="C5" s="9" t="n">
        <v>6</v>
      </c>
      <c r="D5" s="9" t="n">
        <v>390</v>
      </c>
      <c r="E5" s="11" t="inlineStr"/>
    </row>
    <row r="6">
      <c r="A6" s="9" t="inlineStr">
        <is>
          <t>furnace repair white rock</t>
        </is>
      </c>
      <c r="B6" s="9" t="n">
        <v>1</v>
      </c>
      <c r="C6" s="9" t="n">
        <v>32</v>
      </c>
      <c r="D6" s="9" t="n">
        <v>90</v>
      </c>
      <c r="E6" s="11" t="inlineStr"/>
    </row>
    <row r="7">
      <c r="A7" s="9" t="inlineStr">
        <is>
          <t>plumber south surrey</t>
        </is>
      </c>
      <c r="B7" s="9" t="n">
        <v>7</v>
      </c>
      <c r="C7" s="9" t="n"/>
      <c r="D7" s="9" t="n">
        <v>170</v>
      </c>
      <c r="E7" s="11" t="inlineStr">
        <is>
          <t>Sadler not in top 100</t>
        </is>
      </c>
    </row>
    <row r="8">
      <c r="A8" s="9" t="inlineStr">
        <is>
          <t>south surrey plumbing</t>
        </is>
      </c>
      <c r="B8" s="9" t="n">
        <v>6</v>
      </c>
      <c r="C8" s="9" t="n"/>
      <c r="D8" s="9" t="n">
        <v>170</v>
      </c>
      <c r="E8" s="11" t="inlineStr">
        <is>
          <t>Sadler not ranking</t>
        </is>
      </c>
    </row>
    <row r="10" ht="45" customHeight="1">
      <c r="A10" s="3" t="inlineStr">
        <is>
          <t>hilltopplumbing.com outranks Sadler on 34 of 113 tracked terms (Semrush, 2026-10-05), mostly White Rock, where Hilltop holds #1 on 18. Volumes on this tab are Semrush campaign volumes.</t>
        </is>
      </c>
    </row>
    <row r="11" ht="45" customHeight="1">
      <c r="A11" s="3" t="inlineStr">
        <is>
          <t>Other White Rock terms where Hilltop is #1: boiler repair, furnace installation, furnace service, gas fitter, gas line installation, heat pump installation, heating installation, heating service, hot water tank repair / replacement / services, in floor heating, plumbing services, tankless water heater services, air conditioner.</t>
        </is>
      </c>
    </row>
    <row r="12" ht="45" customHeight="1">
      <c r="A12" s="3" t="inlineStr">
        <is>
          <t>Implication: White Rock has one location page while Langley has dedicated boiler and furnace pages. Feeds the location-strategy step.</t>
        </is>
      </c>
    </row>
    <row r="13" ht="45" customHeight="1">
      <c r="A13" s="3" t="inlineStr">
        <is>
          <t>Full per-keyword Hilltop export not pulled (Semrush API units exhausted). Pull it from the Semrush UI to complete this tab.</t>
        </is>
      </c>
    </row>
  </sheetData>
  <autoFilter ref="A1:E8"/>
  <mergeCells count="4">
    <mergeCell ref="A11:E11"/>
    <mergeCell ref="A13:E13"/>
    <mergeCell ref="A10:E10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2026-10-15T15:11:48Z</dcterms:created>
  <dcterms:modified xmlns:dcterms="http://purl.org/dc/terms/" xmlns:xsi="http://www.w3.org/2001/XMLSchema-instance" xsi:type="dcterms:W3CDTF">2026-10-15T15:11:49Z</dcterms:modified>
</cp:coreProperties>
</file>